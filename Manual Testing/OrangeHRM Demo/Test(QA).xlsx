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yush sinha\Desktop\coding\testing\manual\OrangeHRM demo Test\"/>
    </mc:Choice>
  </mc:AlternateContent>
  <xr:revisionPtr revIDLastSave="0" documentId="13_ncr:1_{C6DA0C86-6745-4F86-B631-DD57ED7A04B2}" xr6:coauthVersionLast="47" xr6:coauthVersionMax="47" xr10:uidLastSave="{00000000-0000-0000-0000-000000000000}"/>
  <bookViews>
    <workbookView xWindow="-108" yWindow="-108" windowWidth="23256" windowHeight="12456" activeTab="4" xr2:uid="{00000000-000D-0000-FFFF-FFFF00000000}"/>
  </bookViews>
  <sheets>
    <sheet name="TEST SCENARIO" sheetId="1" r:id="rId1"/>
    <sheet name="TEST CASES" sheetId="2" r:id="rId2"/>
    <sheet name="RTM" sheetId="4" r:id="rId3"/>
    <sheet name="BUG|DEFECT|ERROR REPORT" sheetId="3" r:id="rId4"/>
    <sheet name="TEST METRIC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9" i="2" l="1"/>
  <c r="G48" i="2"/>
  <c r="G47" i="2"/>
  <c r="G46" i="2"/>
</calcChain>
</file>

<file path=xl/sharedStrings.xml><?xml version="1.0" encoding="utf-8"?>
<sst xmlns="http://schemas.openxmlformats.org/spreadsheetml/2006/main" count="890" uniqueCount="338">
  <si>
    <t>Test Scenario ID</t>
  </si>
  <si>
    <t>Module</t>
  </si>
  <si>
    <t>Description</t>
  </si>
  <si>
    <t>Priority</t>
  </si>
  <si>
    <t>Test Type</t>
  </si>
  <si>
    <t>Environment</t>
  </si>
  <si>
    <t>Expected Result</t>
  </si>
  <si>
    <t>TEST SCENARIO</t>
  </si>
  <si>
    <t>verify if user is able to login properly with valid credentials(positive testing)</t>
  </si>
  <si>
    <t>verify if user is unable to login with invalid credential(negative nesting)</t>
  </si>
  <si>
    <t>Verify if user is able to change the password</t>
  </si>
  <si>
    <t>login,out and change password</t>
  </si>
  <si>
    <t>P0</t>
  </si>
  <si>
    <t>P1</t>
  </si>
  <si>
    <t>TS_001</t>
  </si>
  <si>
    <t>TS_002</t>
  </si>
  <si>
    <t>TS_003</t>
  </si>
  <si>
    <t>PIM</t>
  </si>
  <si>
    <t>TS_004</t>
  </si>
  <si>
    <t>Verify if admin is able to add custom info.</t>
  </si>
  <si>
    <t>TS_005</t>
  </si>
  <si>
    <t>TS_006</t>
  </si>
  <si>
    <t>TS_007</t>
  </si>
  <si>
    <t>TS_008</t>
  </si>
  <si>
    <t>TS_009</t>
  </si>
  <si>
    <t>TS_010</t>
  </si>
  <si>
    <t>TS_011</t>
  </si>
  <si>
    <t>TS_012</t>
  </si>
  <si>
    <t>TS_013</t>
  </si>
  <si>
    <t>TS_014</t>
  </si>
  <si>
    <t>TS_015</t>
  </si>
  <si>
    <t>TS_016</t>
  </si>
  <si>
    <t>TS_017</t>
  </si>
  <si>
    <t>TS_018</t>
  </si>
  <si>
    <t>TS_019</t>
  </si>
  <si>
    <t>TS_020</t>
  </si>
  <si>
    <t>TS_021</t>
  </si>
  <si>
    <t>TS_022</t>
  </si>
  <si>
    <t>TS_023</t>
  </si>
  <si>
    <t>TS_024</t>
  </si>
  <si>
    <t>TS_025</t>
  </si>
  <si>
    <t>Verify if admin is able to view Training courses.</t>
  </si>
  <si>
    <t>FUNCTIONAL</t>
  </si>
  <si>
    <t>OS-Windows 11 Browser-Chrome network-hotspot</t>
  </si>
  <si>
    <t>user should be able to login properly and land to home page</t>
  </si>
  <si>
    <t>is should show error message</t>
  </si>
  <si>
    <t>user should be able to change password.</t>
  </si>
  <si>
    <t>verify is user is able to logout properly</t>
  </si>
  <si>
    <t>user should be able to logout and webpage should behave like before login</t>
  </si>
  <si>
    <t>admin should able to add custom info.</t>
  </si>
  <si>
    <t>admin should able to view Training courses</t>
  </si>
  <si>
    <t>Test Case ID</t>
  </si>
  <si>
    <t>Test scenario ID</t>
  </si>
  <si>
    <t>Test Case description</t>
  </si>
  <si>
    <t>Test Steps</t>
  </si>
  <si>
    <t>Expected Results</t>
  </si>
  <si>
    <t>Actual Result</t>
  </si>
  <si>
    <t>Status Pass/Fail</t>
  </si>
  <si>
    <t>Test Cases</t>
  </si>
  <si>
    <t>TC_001</t>
  </si>
  <si>
    <t>Username</t>
  </si>
  <si>
    <t>Password</t>
  </si>
  <si>
    <t>correct</t>
  </si>
  <si>
    <t>incorrect</t>
  </si>
  <si>
    <t>Result</t>
  </si>
  <si>
    <t>TC_002</t>
  </si>
  <si>
    <t>empty</t>
  </si>
  <si>
    <t>Test cases</t>
  </si>
  <si>
    <t>TC_003</t>
  </si>
  <si>
    <t>TC_004</t>
  </si>
  <si>
    <t>TC_005</t>
  </si>
  <si>
    <t>TC_006</t>
  </si>
  <si>
    <t>TC_007</t>
  </si>
  <si>
    <t>TC_008</t>
  </si>
  <si>
    <t>TC_009</t>
  </si>
  <si>
    <t>TC_001-TC_009</t>
  </si>
  <si>
    <t>TC_010</t>
  </si>
  <si>
    <t>pass</t>
  </si>
  <si>
    <t>fail</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</si>
  <si>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</si>
  <si>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</si>
  <si>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</si>
  <si>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</si>
  <si>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</si>
  <si>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</si>
  <si>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</si>
  <si>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</si>
  <si>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</si>
  <si>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</si>
  <si>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</si>
  <si>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</si>
  <si>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</si>
  <si>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</si>
  <si>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</si>
  <si>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</si>
  <si>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</si>
  <si>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</si>
  <si>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</si>
  <si>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</si>
  <si>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</si>
  <si>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</si>
  <si>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</si>
  <si>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</si>
  <si>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</si>
  <si>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</si>
  <si>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TS_001,TS_002</t>
  </si>
  <si>
    <t>Login,out and change password</t>
  </si>
  <si>
    <t>TC_037</t>
  </si>
  <si>
    <t>TS_026</t>
  </si>
  <si>
    <t>TC_038</t>
  </si>
  <si>
    <t>verify if user is able to reach the PIM page</t>
  </si>
  <si>
    <t xml:space="preserve"> user is able to reach the PIM page</t>
  </si>
  <si>
    <t>TC_039</t>
  </si>
  <si>
    <t>TC_040</t>
  </si>
  <si>
    <t>verify if the user is able to view employee list</t>
  </si>
  <si>
    <t xml:space="preserve">Verify if admin is able to add new employee info of add employee </t>
  </si>
  <si>
    <t xml:space="preserve">Verify if admin is able to save, edit and reset employee info of personal detail </t>
  </si>
  <si>
    <t xml:space="preserve">Verify if admin is able to add new employee info of add employee  </t>
  </si>
  <si>
    <t xml:space="preserve">Verify if admin is able to save, edit and reset employee info of personal detail  </t>
  </si>
  <si>
    <t xml:space="preserve">Verify if admin is able to reset employee info of Contact Detail  </t>
  </si>
  <si>
    <t xml:space="preserve">Verify if admin is able to add,edit and delete emergency contacts of emergency contacts  </t>
  </si>
  <si>
    <t xml:space="preserve">Verify if admin is able to add,edit and delete and delete multiple dependents info of dependents  </t>
  </si>
  <si>
    <t xml:space="preserve">Verify if admin is able to add,edit and delete and delete multiple immigration info of immigration  </t>
  </si>
  <si>
    <t xml:space="preserve">Verify if admin is able to add photo of employee of photograph  </t>
  </si>
  <si>
    <t xml:space="preserve">Verify if admin is able to add employee's role detail of job  </t>
  </si>
  <si>
    <t xml:space="preserve">Verify if admin is able to add,edit and delete and delete multiple salary info of salary  </t>
  </si>
  <si>
    <t xml:space="preserve">Verify if admin is able to add and edit tax exemption info of tax exemptions  </t>
  </si>
  <si>
    <t xml:space="preserve">Verify if admin is able to add,edit and delete and delete multiple Direct deposit info of direct deposit  </t>
  </si>
  <si>
    <t xml:space="preserve">Verify if admin is able to edit and delete and Report-to info of Report-to  </t>
  </si>
  <si>
    <t xml:space="preserve">Verify if admin is able to add,edit and delete and delete multiple info of Work Experience  </t>
  </si>
  <si>
    <t xml:space="preserve">Verify if admin is able to add,edit and delete and delete multiple info of Education  </t>
  </si>
  <si>
    <t xml:space="preserve">Verify if admin is able to add,edit and delete and delete multiple info of Skills  </t>
  </si>
  <si>
    <t xml:space="preserve">Verify if admin is able to add,edit and delete and delete multiple info of Language  </t>
  </si>
  <si>
    <t xml:space="preserve">Verify if admin is able to add,edit and delete and delete multiple info of License  </t>
  </si>
  <si>
    <t xml:space="preserve">Verify if admin is able to add,edit and delete and delete multiple info of Memberships  </t>
  </si>
  <si>
    <t xml:space="preserve">Verify if admin is able to add,edit and delete and delete multiple info of Attachment  </t>
  </si>
  <si>
    <t xml:space="preserve">Verify if admin is able to view edit and delete info of employee list  </t>
  </si>
  <si>
    <t xml:space="preserve">admin should be able to view edit and delete info of employee list  </t>
  </si>
  <si>
    <t xml:space="preserve"> admin should be able to add new employee info of add employee  </t>
  </si>
  <si>
    <t xml:space="preserve">admin should be able to save, edit and reset employee info of personal detail  </t>
  </si>
  <si>
    <t xml:space="preserve">admin should be able to reset employee info of Contact Detail  </t>
  </si>
  <si>
    <t xml:space="preserve">admin should be able to add,edit and delete emergency contacts of emergency contacts  </t>
  </si>
  <si>
    <t xml:space="preserve">admin should be able to add,edit and delete and delete multiple dependents info of dependents  </t>
  </si>
  <si>
    <t xml:space="preserve">admin should be able to add,edit and delete and delete multiple immigration info of immigration  </t>
  </si>
  <si>
    <t xml:space="preserve"> admin should be able to add photo of employee of photograph  </t>
  </si>
  <si>
    <t xml:space="preserve"> admin should be able to add employee's role detail of job  </t>
  </si>
  <si>
    <t xml:space="preserve">admin should be able to add,edit and delete and delete multiple salary info of salary  </t>
  </si>
  <si>
    <t xml:space="preserve">admin should be able to add and edit tax exemption info of tax exemptions  </t>
  </si>
  <si>
    <t xml:space="preserve"> admin should be able to add,edit and delete and delete multiple Direct deposit info of direct deposit  </t>
  </si>
  <si>
    <t xml:space="preserve">admin should be able to edit and delete and Report-to info of Report-to  </t>
  </si>
  <si>
    <t xml:space="preserve">admin should be able to add,edit and delete and delete multiple info of Work Experience  </t>
  </si>
  <si>
    <t xml:space="preserve"> admin should be able to add,edit and delete and delete multiple info of Education  </t>
  </si>
  <si>
    <t xml:space="preserve"> admin should be able to add,edit and delete and delete multiple info of Skills  </t>
  </si>
  <si>
    <t xml:space="preserve"> admin should able to add,edit and delete and delete multiple info of Language  </t>
  </si>
  <si>
    <t xml:space="preserve">admin should able to add,edit and delete and delete multiple info of License  </t>
  </si>
  <si>
    <t xml:space="preserve">admin should able to add,edit and delete and delete multiple info of Memberships  </t>
  </si>
  <si>
    <t xml:space="preserve"> admin should able to add,edit and delete and delete multiple info of Attachment  </t>
  </si>
  <si>
    <t>user is able to view employee list</t>
  </si>
  <si>
    <t>TC_041</t>
  </si>
  <si>
    <t>TC_042</t>
  </si>
  <si>
    <t>TC_043</t>
  </si>
  <si>
    <t>TC_044</t>
  </si>
  <si>
    <t>TC_045</t>
  </si>
  <si>
    <t>TC_046</t>
  </si>
  <si>
    <t>decesion table of login page</t>
  </si>
  <si>
    <t>verify if the user is able to logout.</t>
  </si>
  <si>
    <t>Verify if empty required fields of add employee shows error</t>
  </si>
  <si>
    <t xml:space="preserve"> empty required fields of add employee shows error</t>
  </si>
  <si>
    <t>size</t>
  </si>
  <si>
    <t>format</t>
  </si>
  <si>
    <t>result</t>
  </si>
  <si>
    <t>.jpg</t>
  </si>
  <si>
    <t>&lt;=1mb</t>
  </si>
  <si>
    <t>other than .jpg</t>
  </si>
  <si>
    <t>&gt;1mb</t>
  </si>
  <si>
    <t>decesion table of photgraph</t>
  </si>
  <si>
    <t>Verify if empty required fields of emergency contacts shows error</t>
  </si>
  <si>
    <t>Verify if empty required fields of dependants shows error</t>
  </si>
  <si>
    <t>empty required fields of dependants shows error</t>
  </si>
  <si>
    <t xml:space="preserve"> empty required fields of emergency contacts shows error</t>
  </si>
  <si>
    <t>1.Open the application login page.
2.Enter different combinations of Username and Password based on the decision table
3.Click the 'Login' button.</t>
  </si>
  <si>
    <t>1.Log in with valid credentials.
2.Navigate to the user menu.
3.Click the 'Logout' button.
4.Observe the system response.</t>
  </si>
  <si>
    <t>Log in with valid credentials.
Navigate to the dashboard/homepage.
Click on the 'PIM' menu option.
.</t>
  </si>
  <si>
    <t xml:space="preserve">view the employee details of all employee </t>
  </si>
  <si>
    <t>Click on 'Add Employee'.
Enter mandatory details (First Name, Last Name, Employee ID).
Click the 'Save' button.</t>
  </si>
  <si>
    <t>Leave required fields empty.
Click 'Submit' or 'Save'.
Observe the system response.</t>
  </si>
  <si>
    <t xml:space="preserve">Navigate to the PIM module.
Search for an existing employee.
Click on the employee's name to open the personal details section.
Modify fields such as name, date of birth, contact details, etc.
Click the 'Save' button and observe the system response.
Edit the personal details again and click 'Save' to verify that changes are updated.
Click the 'Reset' button to check if the form restores the previous details.
</t>
  </si>
  <si>
    <t xml:space="preserve">Navigate to the PIM module.
Search for an existing employee.
Click on the employee's name to open the contact detail section.
Click the 'Reset' button to check if the form restores the previous details.
</t>
  </si>
  <si>
    <t>Select an employee and go to Emergency Contacts.
Click "Add" without entering any details.
Click "Save" and observe the system response.</t>
  </si>
  <si>
    <t>Log in as admin, go to PIM, select an employee, and open Dependents.
Click "Add", enter details (Name, Relationship, DOB), click "Save", and verify the dependent is added.
Select a dependent, click "Edit", update details, click "Save", and verify changes.
Select one or multiple dependents, click "Delete", confirm, and verify removal.</t>
  </si>
  <si>
    <t>Log in as admin, go to PIM, select an employee, and open Dependents.
Click "Add", leave all fields empty, and click "Save".
Verify that the system displays error messages for required fields.</t>
  </si>
  <si>
    <t>Log in as admin, go to PIM, select an employee, and open Immigration.
Click "Add", enter details (Document Type, Number, Expiry Date), click "Save", and verify the record is added.
Select an immigration record, click "Edit", update details, click "Save", and verify changes.
Select one or multiple immigration records, click "Delete", confirm, and verify removal.</t>
  </si>
  <si>
    <t>Log in as admin, go to PIM, select an employee, and open the Photograph section.
Click "Upload", select an image file, and click "Save".
Verify that the photo is uploaded and displayed correctly</t>
  </si>
  <si>
    <t>Log in as admin, go to PIM, select an employee, and open the Job section.
Click "Edit", enter/update Job Title, Employment Status, Job Category, Department, etc.
Click "Save" and verify that the role details are updated.</t>
  </si>
  <si>
    <t>Log in as admin, go to PIM, select an employee, and open the Salary section.
Click "Add", enter details (Pay Grade, Salary Amount, Currency, Payment Mode), click "Save", and verify the salary is added.
Select a salary record, click "Edit", update details, click "Save", and verify changes.
Select one or multiple salary records, click "Delete", confirm, and verify removal.</t>
  </si>
  <si>
    <t>Log in as admin, go to PIM, select an employee, and open the Tax Exemptions section.
Click "Add", enter details (Federal Tax, State Tax, Exemptions), click "Save", and verify the information is added.
Select the tax exemption record, click "Edit", update details, click "Save", and verify changes.</t>
  </si>
  <si>
    <t>Log in as admin, go to PIM, select an employee, and open the Direct Deposit section.
Click "Add", enter details (Bank Name, Account Number, Account Type, Routing Number, Deposit Amount), click "Save", and verify the record is added.
Select a direct deposit record, click "Edit", update details, click "Save", and verify changes.
Select one or multiple direct deposit records, click "Delete", confirm, and verify removal.</t>
  </si>
  <si>
    <t>Log in as admin, go to PIM, select an employee, and open the Report-To section.
Select a Report-To record, click "Edit", update details (Supervisor/Manager, Reporting Method), click "Save", and verify changes.
Select one or multiple Report-To records, click "Delete", confirm, and verify removal</t>
  </si>
  <si>
    <t>Log in as admin, go to PIM, select an employee, and open the Work Experience section.
Click "Add", enter details (Company Name, Job Title, From Date, To Date, Comments), click "Save", and verify the record is added.
Select a work experience record, click "Edit", update details, click "Save", and verify changes.
Select one or multiple work experience records, click "Delete", confirm, and verify removal.</t>
  </si>
  <si>
    <t>Log in as admin, go to PIM, select an employee, and open the Education section.
Click "Add", enter details (Institution Name, Level, Year of Completion, GPA, Major), click "Save", and verify the record is added.
Select an education record, click "Edit", update details, click "Save", and verify changes.
Select one or multiple education records, click "Delete", confirm, and verify removal.</t>
  </si>
  <si>
    <t>Log in as admin, go to PIM, select an employee, and open the Skills section.
Click "Add", enter details (Skill Name, Years of Experience, Comments), click "Save", and verify the skill is added.
Select a skill record, click "Edit", update details, click "Save", and verify changes.
Select one or multiple skill records, click "Delete", confirm, and verify removal.</t>
  </si>
  <si>
    <t>Log in as admin, go to PIM, select an employee, and open the Language section.
Click "Add", enter details (Language Name, Proficiency in Speaking, Reading, Writing), click "Save", and verify the record is added.
Select a language record, click "Edit", update details, click "Save", and verify changes.
Select one or multiple language records, click "Delete", confirm, and verify removal.</t>
  </si>
  <si>
    <t>Log in as admin, go to PIM, select an employee, and open the License section.
Click "Add", enter details (License Type, License Number, Issued Date, Expiry Date), click "Save", and verify the record is added.
Select a license record, click "Edit", update details, click "Save", and verify changes.
Select one or multiple license records, click "Delete", confirm, and verify removal.</t>
  </si>
  <si>
    <t>Log in as admin, go to PIM, select an employee, and open the Memberships section.
Click "Add", enter details (Membership Name, Subscription Fee, Membership Status, Start &amp; Expiry Date), click "Save", and verify the record is added.
Select a membership record, click "Edit", update details, click "Save", and verify changes.
Select one or multiple membership records, click "Delete", confirm, and verify removal.</t>
  </si>
  <si>
    <t>Log in as admin, go to PIM, select an employee, and open the Attachments section.
Click "Add", upload a file, enter a description (if required), click "Save", and verify the attachment is added.
Select an attachment record, click "Edit", update details, click "Save", and verify changes.
Select one or multiple attachment records, click "Delete", confirm, and verify removal.</t>
  </si>
  <si>
    <t>Log in as admin, go to PIM, select an employee, and open the Custom Fields section.
Click "Add", enter details (Custom Field Name, Value), click "Save", and verify the information is added.</t>
  </si>
  <si>
    <t>Log in as admin and navigate to the Training module.
Click on "Courses" to view the list of available training courses.
Verify that all training courses are displayed with relevant details (Course Name, Instructor, Status, etc.).</t>
  </si>
  <si>
    <t>Search for and select an existing employee.
Go to the Emergency Contacts section.
Click the "Add" button.
Enter the emergency contact details,                                       Click the "Save" button.                                                                   Click the "Edit" button.
Modify any field (e.g., change phone number or relationship).
Click "Save".                                                                                 Select an existing emergency contact.
Click the "Delete" button.
Confirm the deletion in the pop-up confirmation dialog.</t>
  </si>
  <si>
    <t>Upload a photo less than 1mb with .jpf format                  Upload a photo greater than 1mb with .jpf format            Upload a photo greater than 1mb with some other format  Upload a photo less than 1mb with some other format</t>
  </si>
  <si>
    <t>test cases</t>
  </si>
  <si>
    <t xml:space="preserve">testing upper and lower case correct inputs  </t>
  </si>
  <si>
    <t xml:space="preserve">enter all upper case letters in username.                           enter all lower case letters in username.                                 enter first letter uppercase and other lower in username.                    enter first letter lowercase and other upper in username.   </t>
  </si>
  <si>
    <t>BUG_001</t>
  </si>
  <si>
    <t>FAIL</t>
  </si>
  <si>
    <t xml:space="preserve"> going back without logging out takes me back to login page but when tried to login again using correct inputs, the login button stops working and after logging out and press forward it takes me back to homepage</t>
  </si>
  <si>
    <t>BUG REPORT</t>
  </si>
  <si>
    <t>Test scenario id</t>
  </si>
  <si>
    <t>module</t>
  </si>
  <si>
    <t>description</t>
  </si>
  <si>
    <t>status</t>
  </si>
  <si>
    <t>same as expected</t>
  </si>
  <si>
    <t>PASS</t>
  </si>
  <si>
    <t>input</t>
  </si>
  <si>
    <t>output</t>
  </si>
  <si>
    <t>all upper</t>
  </si>
  <si>
    <t>all lower</t>
  </si>
  <si>
    <t>first upper</t>
  </si>
  <si>
    <t>first lower</t>
  </si>
  <si>
    <t>PARTIAL PASS</t>
  </si>
  <si>
    <t>Comment</t>
  </si>
  <si>
    <t>it logs me in but on all cases it logged me to different accounts</t>
  </si>
  <si>
    <t xml:space="preserve">in Contact Detail page check if the number inputs  conditions work properly </t>
  </si>
  <si>
    <t>put alphabets in the fields where contact number is required</t>
  </si>
  <si>
    <t xml:space="preserve">in Contact Detail page check if the email inputs  conditions work properly </t>
  </si>
  <si>
    <t>put random letter and number excect that mail format(@exa.com)</t>
  </si>
  <si>
    <t>highlights that field it in red</t>
  </si>
  <si>
    <t>no reset button found</t>
  </si>
  <si>
    <t>no option for multiple delete</t>
  </si>
  <si>
    <t>the user manual only says .jpg but build shows .png and .gif too.</t>
  </si>
  <si>
    <t>no button or page available for tax excemption</t>
  </si>
  <si>
    <t>no button or page available for direct deposit</t>
  </si>
  <si>
    <t>while testing add work experience there was a button of add work experince which was not functioning</t>
  </si>
  <si>
    <t>started buffering and not doing anything when tried to delete</t>
  </si>
  <si>
    <t>Fail</t>
  </si>
  <si>
    <t>no option to  custom info</t>
  </si>
  <si>
    <t>no option to Training courses</t>
  </si>
  <si>
    <t>check if user is able to login with new changed password.</t>
  </si>
  <si>
    <t>user is able to login with new changed password.</t>
  </si>
  <si>
    <t>changed password shows invalid credentials</t>
  </si>
  <si>
    <t xml:space="preserve">Incorrect Current Password </t>
  </si>
  <si>
    <t>.Log in with valid credentials.
.Navigate to the 'Change Password' page.
Enter an incorrect current password, valid new password, and matching confirm password.
Click Submit.</t>
  </si>
  <si>
    <t>: Error message: "Incorrect current password." Password should not be changed.</t>
  </si>
  <si>
    <t>Weak New Password</t>
  </si>
  <si>
    <t>Enter correct current password.
Enter a weak new password (e.g., "12345", "password", or missing required characters).
Enter matching confirm password.
Click Submit.</t>
  </si>
  <si>
    <t>Error message: "New password must meet security requirements."</t>
  </si>
  <si>
    <t xml:space="preserve">New Password and Confirm Password Do Not Match </t>
  </si>
  <si>
    <t>Enter correct current password.
Enter new password as "Test@1234".
Enter confirm password as "Test@12345" (does not match).
Click Submit.</t>
  </si>
  <si>
    <t>Error message: "Confirm password does not match."</t>
  </si>
  <si>
    <t>Empty Fields Validation</t>
  </si>
  <si>
    <t>Leave any of the required fields empty (current password, new password, or confirm password).
Click Submit.</t>
  </si>
  <si>
    <t>Error message: "All fields are required."</t>
  </si>
  <si>
    <t>BUG_002</t>
  </si>
  <si>
    <t>it logs me in but on different cases it logged me to different accounts</t>
  </si>
  <si>
    <t xml:space="preserve">change current password                                                             logout                                                                                                          re-enter username and new password ,                                      click login </t>
  </si>
  <si>
    <t xml:space="preserve">enter all upper case letters in password.                                enter all lower case letters in password.                                 enter first letter uppercase and other lower in password.                    enter first letter lowercase and other upper in password.   </t>
  </si>
  <si>
    <t>should have make me log in with new password</t>
  </si>
  <si>
    <t>BUG_003</t>
  </si>
  <si>
    <t>BUG|DEFECT|ERROR id</t>
  </si>
  <si>
    <t>DEFECT_004</t>
  </si>
  <si>
    <t>DEFECT_005</t>
  </si>
  <si>
    <t>BUG_006</t>
  </si>
  <si>
    <t>DEFECT_007</t>
  </si>
  <si>
    <t>DEFECT_008</t>
  </si>
  <si>
    <t>BUG_009</t>
  </si>
  <si>
    <t>DEFECT_010</t>
  </si>
  <si>
    <t>DEFECT_011</t>
  </si>
  <si>
    <t>RTM</t>
  </si>
  <si>
    <t>Test Scenario_id</t>
  </si>
  <si>
    <t>req_desc</t>
  </si>
  <si>
    <t>design spec</t>
  </si>
  <si>
    <t>development status</t>
  </si>
  <si>
    <t>Test case_id</t>
  </si>
  <si>
    <t>Testing status</t>
  </si>
  <si>
    <t>requirement ID</t>
  </si>
  <si>
    <t>req_001</t>
  </si>
  <si>
    <t>Procedure to reproduce</t>
  </si>
  <si>
    <t>complete</t>
  </si>
  <si>
    <t>Pass</t>
  </si>
  <si>
    <t>Partial pass</t>
  </si>
  <si>
    <t>req_002</t>
  </si>
  <si>
    <t>req_003</t>
  </si>
  <si>
    <t>req_004</t>
  </si>
  <si>
    <t>req_005</t>
  </si>
  <si>
    <t>req_006</t>
  </si>
  <si>
    <t>req_007</t>
  </si>
  <si>
    <t>req_008</t>
  </si>
  <si>
    <t>req_009</t>
  </si>
  <si>
    <t>req_010</t>
  </si>
  <si>
    <t>req_011</t>
  </si>
  <si>
    <t>req_012</t>
  </si>
  <si>
    <t>req_013</t>
  </si>
  <si>
    <t>req_014</t>
  </si>
  <si>
    <t>req_015</t>
  </si>
  <si>
    <t>req_016</t>
  </si>
  <si>
    <t>req_017</t>
  </si>
  <si>
    <t>req_018</t>
  </si>
  <si>
    <t>req_019</t>
  </si>
  <si>
    <t>req_020</t>
  </si>
  <si>
    <t>req_021</t>
  </si>
  <si>
    <t>req_022</t>
  </si>
  <si>
    <t>req_023</t>
  </si>
  <si>
    <t>req_024</t>
  </si>
  <si>
    <t>req_025</t>
  </si>
  <si>
    <t>23-25</t>
  </si>
  <si>
    <t>26-27</t>
  </si>
  <si>
    <t>28-29</t>
  </si>
  <si>
    <t>31-32</t>
  </si>
  <si>
    <t>Tc_19,21</t>
  </si>
  <si>
    <t>Log in with valid credentials.
Navigate to any page inside the application.
Click the Back button in the browser → It redirects to the Login page.
Enter valid credentials and click Login → Login button stops working (Bug observed).
Now, log out properly.
Click the Forward button in the browser → It redirects to the Homepage without requiring login (Bug observed).</t>
  </si>
  <si>
    <t>Log in with valid credentials.
Navigate to Change Password and update it to a new valid password.
Log out and try to log in with the new password.
Observe if the system shows "Invalid Credentials" error.
Try logging in with the old password to check if the password was updated correctly.</t>
  </si>
  <si>
    <t>Log in as an admin and navigate to the PIM module.
Search for an existing employee and click on their name.
Open the Contact Details section.
Look for the 'Reset' button to check if it restores previous details.
Bug Observed: No Reset button is found in the Contact Details section.</t>
  </si>
  <si>
    <t>Log in as an admin and navigate to the PIM module.
Search for an existing employee.
Look for the Tax Exemption section or a related button in the employee details</t>
  </si>
  <si>
    <t>Log in as an admin and navigate to the PIM module.
Search for an existing employee.
Look for the Direct Deposit section or button in the employee details.</t>
  </si>
  <si>
    <t>Log in as an admin and navigate to the PIM module.
Search for an existing employee.
Look for the Custom Info section or an option to add custom fields.</t>
  </si>
  <si>
    <t>Log in as an admin and navigate to the PIM module.
Search for an existing employee.
Look for the Training Courses section or an option to add/view training records.</t>
  </si>
  <si>
    <t>test metric</t>
  </si>
  <si>
    <t xml:space="preserve">metric </t>
  </si>
  <si>
    <t>value</t>
  </si>
  <si>
    <t>Total test cases</t>
  </si>
  <si>
    <t>Executed test cases</t>
  </si>
  <si>
    <t>passes test cases</t>
  </si>
  <si>
    <t>failed test cases</t>
  </si>
  <si>
    <t>defects found</t>
  </si>
  <si>
    <t>Defect fix rate</t>
  </si>
  <si>
    <t>Defect Leakage</t>
  </si>
  <si>
    <t>Test Efficency</t>
  </si>
  <si>
    <t>Partially passed tests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</si>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</sst>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55">
    <xf numFmtId="0" fontId="0" fillId="0" borderId="0" xfId="0"/>
    <xf numFmtId="0" fontId="1" fillId="2" borderId="1" xfId="0" applyFont="1" applyFill="1" applyBorder="1"/>
    <xf numFmtId="0" fontId="0" fillId="4" borderId="1" xfId="0" applyFill="1" applyBorder="1" applyAlignment="1">
      <alignment horizontal="center" vertical="top" wrapText="1"/>
    </xf>
    <xf numFmtId="0" fontId="0" fillId="4" borderId="1" xfId="0" applyFill="1" applyBorder="1" applyAlignment="1">
      <alignment wrapText="1"/>
    </xf>
    <xf numFmtId="0" fontId="1" fillId="3" borderId="1" xfId="0" applyFont="1" applyFill="1" applyBorder="1"/>
    <xf numFmtId="0" fontId="0" fillId="6" borderId="1" xfId="0" applyFill="1" applyBorder="1"/>
    <xf numFmtId="0" fontId="0" fillId="7" borderId="1" xfId="0" applyFill="1" applyBorder="1"/>
    <xf numFmtId="0" fontId="0" fillId="8" borderId="1" xfId="0" applyFill="1" applyBorder="1"/>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0" borderId="5" xfId="0" applyBorder="1" applyAlignment="1">
      <alignment horizontal="center" vertical="center" wrapText="1"/>
    </xf>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7" borderId="1" xfId="0" applyFill="1" applyBorder="1" applyAlignment="1">
      <alignment vertical="top"/>
    </xf>
    <xf numFmtId="0" fontId="1" fillId="2" borderId="1" xfId="0" applyFont="1" applyFill="1" applyBorder="1" applyAlignment="1">
      <alignment horizontal="left" vertical="top" wrapText="1"/>
    </xf>
    <xf numFmtId="0" fontId="0" fillId="0" borderId="2" xfId="0" applyBorder="1" applyAlignment="1">
      <alignment horizontal="center" vertical="center" wrapText="1"/>
    </xf>
    <xf numFmtId="0" fontId="0" fillId="0" borderId="1" xfId="0" applyBorder="1" applyAlignment="1">
      <alignment horizontal="center" vertical="top" wrapText="1"/>
    </xf>
    <xf numFmtId="0" fontId="3" fillId="0" borderId="2" xfId="0" applyFont="1" applyBorder="1" applyAlignment="1">
      <alignment horizontal="center" vertical="center" wrapText="1"/>
    </xf>
    <xf numFmtId="0" fontId="1" fillId="3" borderId="1" xfId="0" applyFont="1" applyFill="1" applyBorder="1" applyAlignment="1">
      <alignment horizontal="center"/>
    </xf>
    <xf numFmtId="0" fontId="1"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xf numFmtId="0" fontId="0" fillId="0" borderId="0" xfId="0" applyAlignment="1">
      <alignment horizontal="center" vertical="center" wrapText="1"/>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0" fontId="0" fillId="4" borderId="4" xfId="0" applyFill="1" applyBorder="1" applyAlignment="1">
      <alignment horizontal="center" vertical="top" wrapText="1"/>
    </xf>
    <xf numFmtId="0" fontId="0" fillId="3" borderId="9" xfId="0" applyFill="1" applyBorder="1" applyAlignment="1">
      <alignment horizontal="center"/>
    </xf>
    <xf numFmtId="0" fontId="1" fillId="0" borderId="10" xfId="0" applyFont="1" applyBorder="1" applyAlignment="1">
      <alignment horizontal="center"/>
    </xf>
    <xf numFmtId="0" fontId="1" fillId="0" borderId="9" xfId="0" applyFont="1" applyBorder="1" applyAlignment="1">
      <alignment horizontal="center"/>
    </xf>
    <xf numFmtId="0" fontId="0" fillId="0" borderId="0" xfId="0" applyAlignment="1">
      <alignment horizontal="center" vertical="center" wrapText="1"/>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3" fillId="9" borderId="1"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9" borderId="1" xfId="0" applyFont="1" applyFill="1" applyBorder="1" applyAlignment="1">
      <alignment horizontal="center" vertical="center"/>
    </xf>
    <xf numFmtId="0" fontId="1" fillId="3" borderId="10" xfId="0" applyFont="1" applyFill="1" applyBorder="1" applyAlignment="1">
      <alignment horizontal="center"/>
    </xf>
    <xf numFmtId="0" fontId="1" fillId="3" borderId="9" xfId="0" applyFont="1" applyFill="1" applyBorder="1" applyAlignment="1">
      <alignment horizontal="center"/>
    </xf>
    <xf numFmtId="0" fontId="1" fillId="10" borderId="1" xfId="0" applyFont="1" applyFill="1" applyBorder="1"/>
    <xf numFmtId="0" fontId="1" fillId="10" borderId="1" xfId="0" applyFont="1" applyFill="1" applyBorder="1" applyAlignment="1">
      <alignment wrapText="1"/>
    </xf>
    <xf numFmtId="0" fontId="1" fillId="2" borderId="1" xfId="0" applyFont="1" applyFill="1" applyBorder="1" applyAlignment="1">
      <alignment horizontal="center" vertical="center"/>
    </xf>
    <xf numFmtId="0" fontId="1" fillId="3" borderId="1" xfId="0" applyFont="1" applyFill="1" applyBorder="1" applyAlignment="1">
      <alignment horizontal="center"/>
    </xf>
    <xf numFmtId="0" fontId="0" fillId="2" borderId="1" xfId="0" applyFill="1" applyBorder="1" applyAlignment="1">
      <alignment horizontal="center"/>
    </xf>
    <xf numFmtId="0" fontId="0" fillId="6" borderId="1" xfId="0" applyFill="1" applyBorder="1" applyAlignment="1">
      <alignment horizontal="center"/>
    </xf>
    <xf numFmtId="9" fontId="0" fillId="6" borderId="1" xfId="0" applyNumberFormat="1" applyFill="1" applyBorder="1" applyAlignment="1">
      <alignment horizontal="center"/>
    </xf>
    <xf numFmtId="0" fontId="0" fillId="4"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center" wrapText="1"/>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30480</xdr:colOff>
          <xdr:row>2</xdr:row>
          <xdr:rowOff>396240</xdr:rowOff>
        </xdr:from>
        <xdr:to>
          <xdr:col>6</xdr:col>
          <xdr:colOff>1249680</xdr:colOff>
          <xdr:row>2</xdr:row>
          <xdr:rowOff>2246811</xdr:rowOff>
        </xdr:to>
        <xdr:pic>
          <xdr:nvPicPr>
            <xdr:cNvPr id="4" name="Picture 3">
              <a:extLst>
                <a:ext uri="{FF2B5EF4-FFF2-40B4-BE49-F238E27FC236}">
                  <a16:creationId xmlns:a16="http://schemas.microsoft.com/office/drawing/2014/main" id="{49CE1E17-2C00-5B04-7847-7371701DDF3C}"/>
                </a:ext>
              </a:extLst>
            </xdr:cNvPr>
            <xdr:cNvPicPr>
              <a:picLocks noChangeAspect="1" noChangeArrowheads="1"/>
              <a:extLst>
                <a:ext uri="{84589F7E-364E-4C9E-8A38-B11213B215E9}">
                  <a14:cameraTool cellRange="$O$99:$P$108" spid="_x0000_s1290"/>
                </a:ext>
              </a:extLst>
            </xdr:cNvPicPr>
          </xdr:nvPicPr>
          <xdr:blipFill>
            <a:blip xmlns:r="http://schemas.openxmlformats.org/officeDocument/2006/relationships" r:embed="rId1"/>
            <a:srcRect/>
            <a:stretch>
              <a:fillRect/>
            </a:stretch>
          </xdr:blipFill>
          <xdr:spPr bwMode="auto">
            <a:xfrm>
              <a:off x="12505509" y="1027611"/>
              <a:ext cx="1219200" cy="18505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2</xdr:row>
          <xdr:rowOff>38099</xdr:rowOff>
        </xdr:from>
        <xdr:to>
          <xdr:col>5</xdr:col>
          <xdr:colOff>3856164</xdr:colOff>
          <xdr:row>2</xdr:row>
          <xdr:rowOff>1972732</xdr:rowOff>
        </xdr:to>
        <xdr:pic>
          <xdr:nvPicPr>
            <xdr:cNvPr id="18" name="Picture 17">
              <a:extLst>
                <a:ext uri="{FF2B5EF4-FFF2-40B4-BE49-F238E27FC236}">
                  <a16:creationId xmlns:a16="http://schemas.microsoft.com/office/drawing/2014/main" id="{7683C0C2-86E2-6224-03A8-9ED7E18B5C0E}"/>
                </a:ext>
              </a:extLst>
            </xdr:cNvPr>
            <xdr:cNvPicPr>
              <a:picLocks noChangeAspect="1" noChangeArrowheads="1"/>
              <a:extLst>
                <a:ext uri="{84589F7E-364E-4C9E-8A38-B11213B215E9}">
                  <a14:cameraTool cellRange="$A$60:$D$69" spid="_x0000_s1291"/>
                </a:ext>
              </a:extLst>
            </xdr:cNvPicPr>
          </xdr:nvPicPr>
          <xdr:blipFill>
            <a:blip xmlns:r="http://schemas.openxmlformats.org/officeDocument/2006/relationships" r:embed="rId2"/>
            <a:stretch>
              <a:fillRect/>
            </a:stretch>
          </xdr:blipFill>
          <xdr:spPr bwMode="auto">
            <a:xfrm>
              <a:off x="5558367" y="673099"/>
              <a:ext cx="3589464" cy="1934633"/>
            </a:xfrm>
            <a:prstGeom prst="rect">
              <a:avLst/>
            </a:prstGeom>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648360</xdr:colOff>
          <xdr:row>25</xdr:row>
          <xdr:rowOff>47837</xdr:rowOff>
        </xdr:from>
        <xdr:to>
          <xdr:col>5</xdr:col>
          <xdr:colOff>3441289</xdr:colOff>
          <xdr:row>25</xdr:row>
          <xdr:rowOff>2013231</xdr:rowOff>
        </xdr:to>
        <xdr:pic>
          <xdr:nvPicPr>
            <xdr:cNvPr id="3" name="Picture 2">
              <a:extLst>
                <a:ext uri="{FF2B5EF4-FFF2-40B4-BE49-F238E27FC236}">
                  <a16:creationId xmlns:a16="http://schemas.microsoft.com/office/drawing/2014/main" id="{B6A6639A-9ACE-3BBF-F98B-85DE69CDF460}"/>
                </a:ext>
              </a:extLst>
            </xdr:cNvPr>
            <xdr:cNvPicPr>
              <a:picLocks noChangeAspect="1" noChangeArrowheads="1"/>
              <a:extLst>
                <a:ext uri="{84589F7E-364E-4C9E-8A38-B11213B215E9}">
                  <a14:cameraTool cellRange="$M$92:$O$96" spid="_x0000_s1292"/>
                </a:ext>
              </a:extLst>
            </xdr:cNvPicPr>
          </xdr:nvPicPr>
          <xdr:blipFill>
            <a:blip xmlns:r="http://schemas.openxmlformats.org/officeDocument/2006/relationships" r:embed="rId3"/>
            <a:srcRect/>
            <a:stretch>
              <a:fillRect/>
            </a:stretch>
          </xdr:blipFill>
          <xdr:spPr bwMode="auto">
            <a:xfrm>
              <a:off x="9177844" y="45632643"/>
              <a:ext cx="2792929" cy="196539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1030309</xdr:colOff>
          <xdr:row>3</xdr:row>
          <xdr:rowOff>386367</xdr:rowOff>
        </xdr:from>
        <xdr:to>
          <xdr:col>5</xdr:col>
          <xdr:colOff>2724164</xdr:colOff>
          <xdr:row>3</xdr:row>
          <xdr:rowOff>1599127</xdr:rowOff>
        </xdr:to>
        <xdr:pic>
          <xdr:nvPicPr>
            <xdr:cNvPr id="6" name="Picture 5">
              <a:extLst>
                <a:ext uri="{FF2B5EF4-FFF2-40B4-BE49-F238E27FC236}">
                  <a16:creationId xmlns:a16="http://schemas.microsoft.com/office/drawing/2014/main" id="{D918BCFE-4AC7-EF1F-2AC7-4C4E9D8543C7}"/>
                </a:ext>
              </a:extLst>
            </xdr:cNvPr>
            <xdr:cNvPicPr>
              <a:picLocks noChangeAspect="1" noChangeArrowheads="1"/>
              <a:extLst>
                <a:ext uri="{84589F7E-364E-4C9E-8A38-B11213B215E9}">
                  <a14:cameraTool cellRange="$N$110:$O$114" spid="_x0000_s1293"/>
                </a:ext>
              </a:extLst>
            </xdr:cNvPicPr>
          </xdr:nvPicPr>
          <xdr:blipFill>
            <a:blip xmlns:r="http://schemas.openxmlformats.org/officeDocument/2006/relationships" r:embed="rId4"/>
            <a:srcRect/>
            <a:stretch>
              <a:fillRect/>
            </a:stretch>
          </xdr:blipFill>
          <xdr:spPr bwMode="auto">
            <a:xfrm>
              <a:off x="9584027" y="3552423"/>
              <a:ext cx="1693855" cy="12127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64394</xdr:colOff>
          <xdr:row>3</xdr:row>
          <xdr:rowOff>461493</xdr:rowOff>
        </xdr:from>
        <xdr:to>
          <xdr:col>6</xdr:col>
          <xdr:colOff>1887407</xdr:colOff>
          <xdr:row>3</xdr:row>
          <xdr:rowOff>2004784</xdr:rowOff>
        </xdr:to>
        <xdr:pic>
          <xdr:nvPicPr>
            <xdr:cNvPr id="8" name="Picture 7">
              <a:extLst>
                <a:ext uri="{FF2B5EF4-FFF2-40B4-BE49-F238E27FC236}">
                  <a16:creationId xmlns:a16="http://schemas.microsoft.com/office/drawing/2014/main" id="{522E8DDE-421A-AB79-4DD9-BE54DF9D9A8F}"/>
                </a:ext>
              </a:extLst>
            </xdr:cNvPr>
            <xdr:cNvPicPr>
              <a:picLocks noChangeAspect="1" noChangeArrowheads="1"/>
              <a:extLst>
                <a:ext uri="{84589F7E-364E-4C9E-8A38-B11213B215E9}">
                  <a14:cameraTool cellRange="$K$110:$L$114" spid="_x0000_s1294"/>
                </a:ext>
              </a:extLst>
            </xdr:cNvPicPr>
          </xdr:nvPicPr>
          <xdr:blipFill>
            <a:blip xmlns:r="http://schemas.openxmlformats.org/officeDocument/2006/relationships" r:embed="rId5"/>
            <a:srcRect/>
            <a:stretch>
              <a:fillRect/>
            </a:stretch>
          </xdr:blipFill>
          <xdr:spPr bwMode="auto">
            <a:xfrm>
              <a:off x="12873710" y="3634885"/>
              <a:ext cx="1823013" cy="15432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651781</xdr:colOff>
          <xdr:row>4</xdr:row>
          <xdr:rowOff>442657</xdr:rowOff>
        </xdr:from>
        <xdr:to>
          <xdr:col>5</xdr:col>
          <xdr:colOff>3036742</xdr:colOff>
          <xdr:row>4</xdr:row>
          <xdr:rowOff>1877592</xdr:rowOff>
        </xdr:to>
        <xdr:pic>
          <xdr:nvPicPr>
            <xdr:cNvPr id="10" name="Picture 9">
              <a:extLst>
                <a:ext uri="{FF2B5EF4-FFF2-40B4-BE49-F238E27FC236}">
                  <a16:creationId xmlns:a16="http://schemas.microsoft.com/office/drawing/2014/main" id="{84DC74EE-9E38-51D5-154E-1460E885FC69}"/>
                </a:ext>
              </a:extLst>
            </xdr:cNvPr>
            <xdr:cNvPicPr>
              <a:picLocks noChangeAspect="1" noChangeArrowheads="1"/>
              <a:extLst>
                <a:ext uri="{84589F7E-364E-4C9E-8A38-B11213B215E9}">
                  <a14:cameraTool cellRange="$J$101:$K$105" spid="_x0000_s1295"/>
                </a:ext>
              </a:extLst>
            </xdr:cNvPicPr>
          </xdr:nvPicPr>
          <xdr:blipFill>
            <a:blip xmlns:r="http://schemas.openxmlformats.org/officeDocument/2006/relationships" r:embed="rId6"/>
            <a:srcRect/>
            <a:stretch>
              <a:fillRect/>
            </a:stretch>
          </xdr:blipFill>
          <xdr:spPr bwMode="auto">
            <a:xfrm>
              <a:off x="9192119" y="5905306"/>
              <a:ext cx="2384961" cy="14349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65851</xdr:colOff>
          <xdr:row>4</xdr:row>
          <xdr:rowOff>545630</xdr:rowOff>
        </xdr:from>
        <xdr:to>
          <xdr:col>6</xdr:col>
          <xdr:colOff>1966783</xdr:colOff>
          <xdr:row>4</xdr:row>
          <xdr:rowOff>1987252</xdr:rowOff>
        </xdr:to>
        <xdr:pic>
          <xdr:nvPicPr>
            <xdr:cNvPr id="12" name="Picture 11">
              <a:extLst>
                <a:ext uri="{FF2B5EF4-FFF2-40B4-BE49-F238E27FC236}">
                  <a16:creationId xmlns:a16="http://schemas.microsoft.com/office/drawing/2014/main" id="{2EDDE8E9-971A-9342-C020-BF43B9ACB14A}"/>
                </a:ext>
              </a:extLst>
            </xdr:cNvPr>
            <xdr:cNvPicPr>
              <a:picLocks noChangeAspect="1" noChangeArrowheads="1"/>
              <a:extLst>
                <a:ext uri="{84589F7E-364E-4C9E-8A38-B11213B215E9}">
                  <a14:cameraTool cellRange="$J$101:$K$105" spid="_x0000_s1296"/>
                </a:ext>
              </a:extLst>
            </xdr:cNvPicPr>
          </xdr:nvPicPr>
          <xdr:blipFill>
            <a:blip xmlns:r="http://schemas.openxmlformats.org/officeDocument/2006/relationships" r:embed="rId6"/>
            <a:srcRect/>
            <a:stretch>
              <a:fillRect/>
            </a:stretch>
          </xdr:blipFill>
          <xdr:spPr bwMode="auto">
            <a:xfrm>
              <a:off x="12556473" y="5931116"/>
              <a:ext cx="1900932" cy="144162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opLeftCell="A8" zoomScale="25" zoomScaleNormal="25" workbookViewId="0">
      <selection activeCell="AF15" sqref="AF15"/>
    </sheetView>
  </sheetViews>
  <sheetFormatPr defaultRowHeight="14.4" x14ac:dyDescent="0.3"/>
  <cols>
    <col min="1" max="1" width="18.33203125" customWidth="1"/>
    <col min="2" max="2" width="12.6640625" customWidth="1"/>
    <col min="3" max="3" width="21.5546875" customWidth="1"/>
    <col min="4" max="4" width="11.5546875" customWidth="1"/>
    <col min="5" max="5" width="15.88671875" customWidth="1"/>
    <col min="6" max="6" width="15" customWidth="1"/>
    <col min="7" max="7" width="27.109375" customWidth="1"/>
  </cols>
  <sheetData>
    <row r="1" spans="1:7" x14ac:dyDescent="0.3">
      <c r="A1" s="27" t="s">
        <v>7</v>
      </c>
      <c r="B1" s="27"/>
      <c r="C1" s="27"/>
      <c r="D1" s="27"/>
      <c r="E1" s="27"/>
      <c r="F1" s="27"/>
      <c r="G1" s="27"/>
    </row>
    <row r="2" spans="1:7" x14ac:dyDescent="0.3">
      <c r="A2" s="1" t="s">
        <v>0</v>
      </c>
      <c r="B2" s="1" t="s">
        <v>1</v>
      </c>
      <c r="C2" s="1" t="s">
        <v>2</v>
      </c>
      <c r="D2" s="1" t="s">
        <v>3</v>
      </c>
      <c r="E2" s="1" t="s">
        <v>4</v>
      </c>
      <c r="F2" s="1" t="s">
        <v>5</v>
      </c>
      <c r="G2" s="1" t="s">
        <v>6</v>
      </c>
    </row>
    <row r="3" spans="1:7" ht="82.2" customHeight="1" x14ac:dyDescent="0.3">
      <c r="A3" s="2" t="s">
        <v>14</v>
      </c>
      <c r="B3" s="2" t="s">
        <v>11</v>
      </c>
      <c r="C3" s="2" t="s">
        <v>8</v>
      </c>
      <c r="D3" s="2" t="s">
        <v>12</v>
      </c>
      <c r="E3" s="24" t="s">
        <v>42</v>
      </c>
      <c r="F3" s="24" t="s">
        <v>43</v>
      </c>
      <c r="G3" s="2" t="s">
        <v>44</v>
      </c>
    </row>
    <row r="4" spans="1:7" ht="69" customHeight="1" x14ac:dyDescent="0.3">
      <c r="A4" s="2" t="s">
        <v>15</v>
      </c>
      <c r="B4" s="2" t="s">
        <v>11</v>
      </c>
      <c r="C4" s="2" t="s">
        <v>9</v>
      </c>
      <c r="D4" s="2" t="s">
        <v>12</v>
      </c>
      <c r="E4" s="25"/>
      <c r="F4" s="25"/>
      <c r="G4" s="2" t="s">
        <v>45</v>
      </c>
    </row>
    <row r="5" spans="1:7" ht="89.4" customHeight="1" x14ac:dyDescent="0.3">
      <c r="A5" s="2" t="s">
        <v>16</v>
      </c>
      <c r="B5" s="2" t="s">
        <v>11</v>
      </c>
      <c r="C5" s="2" t="s">
        <v>47</v>
      </c>
      <c r="D5" s="2" t="s">
        <v>12</v>
      </c>
      <c r="E5" s="25"/>
      <c r="F5" s="25"/>
      <c r="G5" s="2" t="s">
        <v>48</v>
      </c>
    </row>
    <row r="6" spans="1:7" ht="66.599999999999994" customHeight="1" x14ac:dyDescent="0.3">
      <c r="A6" s="2" t="s">
        <v>18</v>
      </c>
      <c r="B6" s="2" t="s">
        <v>11</v>
      </c>
      <c r="C6" s="2" t="s">
        <v>10</v>
      </c>
      <c r="D6" s="2" t="s">
        <v>13</v>
      </c>
      <c r="E6" s="25"/>
      <c r="F6" s="25"/>
      <c r="G6" s="2" t="s">
        <v>46</v>
      </c>
    </row>
    <row r="7" spans="1:7" ht="79.2" customHeight="1" x14ac:dyDescent="0.3">
      <c r="A7" s="2" t="s">
        <v>20</v>
      </c>
      <c r="B7" s="2" t="s">
        <v>17</v>
      </c>
      <c r="C7" s="2" t="s">
        <v>136</v>
      </c>
      <c r="D7" s="2" t="s">
        <v>12</v>
      </c>
      <c r="E7" s="25"/>
      <c r="F7" s="25"/>
      <c r="G7" s="2" t="s">
        <v>137</v>
      </c>
    </row>
    <row r="8" spans="1:7" ht="82.8" customHeight="1" x14ac:dyDescent="0.3">
      <c r="A8" s="2" t="s">
        <v>21</v>
      </c>
      <c r="B8" s="2" t="s">
        <v>17</v>
      </c>
      <c r="C8" s="2" t="s">
        <v>117</v>
      </c>
      <c r="D8" s="2" t="s">
        <v>12</v>
      </c>
      <c r="E8" s="25"/>
      <c r="F8" s="25"/>
      <c r="G8" s="2" t="s">
        <v>138</v>
      </c>
    </row>
    <row r="9" spans="1:7" ht="79.8" customHeight="1" x14ac:dyDescent="0.3">
      <c r="A9" s="2" t="s">
        <v>22</v>
      </c>
      <c r="B9" s="2" t="s">
        <v>17</v>
      </c>
      <c r="C9" s="2" t="s">
        <v>118</v>
      </c>
      <c r="D9" s="2" t="s">
        <v>12</v>
      </c>
      <c r="E9" s="25"/>
      <c r="F9" s="25"/>
      <c r="G9" s="2" t="s">
        <v>139</v>
      </c>
    </row>
    <row r="10" spans="1:7" ht="53.4" customHeight="1" x14ac:dyDescent="0.3">
      <c r="A10" s="2" t="s">
        <v>23</v>
      </c>
      <c r="B10" s="2" t="s">
        <v>17</v>
      </c>
      <c r="C10" s="2" t="s">
        <v>119</v>
      </c>
      <c r="D10" s="2" t="s">
        <v>12</v>
      </c>
      <c r="E10" s="25"/>
      <c r="F10" s="25"/>
      <c r="G10" s="2" t="s">
        <v>140</v>
      </c>
    </row>
    <row r="11" spans="1:7" ht="91.2" customHeight="1" x14ac:dyDescent="0.3">
      <c r="A11" s="2" t="s">
        <v>24</v>
      </c>
      <c r="B11" s="2" t="s">
        <v>17</v>
      </c>
      <c r="C11" s="2" t="s">
        <v>120</v>
      </c>
      <c r="D11" s="2" t="s">
        <v>12</v>
      </c>
      <c r="E11" s="25"/>
      <c r="F11" s="25"/>
      <c r="G11" s="2" t="s">
        <v>141</v>
      </c>
    </row>
    <row r="12" spans="1:7" ht="99" customHeight="1" x14ac:dyDescent="0.3">
      <c r="A12" s="2" t="s">
        <v>25</v>
      </c>
      <c r="B12" s="2" t="s">
        <v>17</v>
      </c>
      <c r="C12" s="2" t="s">
        <v>121</v>
      </c>
      <c r="D12" s="2" t="s">
        <v>12</v>
      </c>
      <c r="E12" s="25"/>
      <c r="F12" s="25"/>
      <c r="G12" s="2" t="s">
        <v>142</v>
      </c>
    </row>
    <row r="13" spans="1:7" ht="95.4" customHeight="1" x14ac:dyDescent="0.3">
      <c r="A13" s="2" t="s">
        <v>26</v>
      </c>
      <c r="B13" s="2" t="s">
        <v>17</v>
      </c>
      <c r="C13" s="2" t="s">
        <v>122</v>
      </c>
      <c r="D13" s="2" t="s">
        <v>12</v>
      </c>
      <c r="E13" s="25"/>
      <c r="F13" s="25"/>
      <c r="G13" s="2" t="s">
        <v>143</v>
      </c>
    </row>
    <row r="14" spans="1:7" ht="75.599999999999994" customHeight="1" x14ac:dyDescent="0.3">
      <c r="A14" s="2" t="s">
        <v>27</v>
      </c>
      <c r="B14" s="2" t="s">
        <v>17</v>
      </c>
      <c r="C14" s="2" t="s">
        <v>123</v>
      </c>
      <c r="D14" s="2" t="s">
        <v>12</v>
      </c>
      <c r="E14" s="25"/>
      <c r="F14" s="25"/>
      <c r="G14" s="2" t="s">
        <v>144</v>
      </c>
    </row>
    <row r="15" spans="1:7" ht="60" customHeight="1" x14ac:dyDescent="0.3">
      <c r="A15" s="2" t="s">
        <v>28</v>
      </c>
      <c r="B15" s="2" t="s">
        <v>17</v>
      </c>
      <c r="C15" s="2" t="s">
        <v>124</v>
      </c>
      <c r="D15" s="2" t="s">
        <v>12</v>
      </c>
      <c r="E15" s="25"/>
      <c r="F15" s="25"/>
      <c r="G15" s="2" t="s">
        <v>145</v>
      </c>
    </row>
    <row r="16" spans="1:7" ht="87.6" customHeight="1" x14ac:dyDescent="0.3">
      <c r="A16" s="2" t="s">
        <v>29</v>
      </c>
      <c r="B16" s="2" t="s">
        <v>17</v>
      </c>
      <c r="C16" s="2" t="s">
        <v>125</v>
      </c>
      <c r="D16" s="2" t="s">
        <v>12</v>
      </c>
      <c r="E16" s="25"/>
      <c r="F16" s="25"/>
      <c r="G16" s="2" t="s">
        <v>146</v>
      </c>
    </row>
    <row r="17" spans="1:7" ht="75.599999999999994" customHeight="1" x14ac:dyDescent="0.3">
      <c r="A17" s="2" t="s">
        <v>30</v>
      </c>
      <c r="B17" s="2" t="s">
        <v>17</v>
      </c>
      <c r="C17" s="2" t="s">
        <v>126</v>
      </c>
      <c r="D17" s="2" t="s">
        <v>12</v>
      </c>
      <c r="E17" s="25"/>
      <c r="F17" s="25"/>
      <c r="G17" s="2" t="s">
        <v>147</v>
      </c>
    </row>
    <row r="18" spans="1:7" ht="89.4" customHeight="1" x14ac:dyDescent="0.3">
      <c r="A18" s="2" t="s">
        <v>31</v>
      </c>
      <c r="B18" s="2" t="s">
        <v>17</v>
      </c>
      <c r="C18" s="2" t="s">
        <v>127</v>
      </c>
      <c r="D18" s="2" t="s">
        <v>12</v>
      </c>
      <c r="E18" s="25"/>
      <c r="F18" s="25"/>
      <c r="G18" s="2" t="s">
        <v>148</v>
      </c>
    </row>
    <row r="19" spans="1:7" ht="75" customHeight="1" x14ac:dyDescent="0.3">
      <c r="A19" s="2" t="s">
        <v>32</v>
      </c>
      <c r="B19" s="2" t="s">
        <v>17</v>
      </c>
      <c r="C19" s="2" t="s">
        <v>128</v>
      </c>
      <c r="D19" s="2" t="s">
        <v>12</v>
      </c>
      <c r="E19" s="25"/>
      <c r="F19" s="25"/>
      <c r="G19" s="2" t="s">
        <v>149</v>
      </c>
    </row>
    <row r="20" spans="1:7" ht="86.4" customHeight="1" x14ac:dyDescent="0.3">
      <c r="A20" s="2" t="s">
        <v>33</v>
      </c>
      <c r="B20" s="2" t="s">
        <v>17</v>
      </c>
      <c r="C20" s="2" t="s">
        <v>129</v>
      </c>
      <c r="D20" s="2" t="s">
        <v>12</v>
      </c>
      <c r="E20" s="25"/>
      <c r="F20" s="25"/>
      <c r="G20" s="2" t="s">
        <v>150</v>
      </c>
    </row>
    <row r="21" spans="1:7" ht="72" customHeight="1" x14ac:dyDescent="0.3">
      <c r="A21" s="2" t="s">
        <v>34</v>
      </c>
      <c r="B21" s="2" t="s">
        <v>17</v>
      </c>
      <c r="C21" s="2" t="s">
        <v>130</v>
      </c>
      <c r="D21" s="2" t="s">
        <v>12</v>
      </c>
      <c r="E21" s="25"/>
      <c r="F21" s="25"/>
      <c r="G21" s="2" t="s">
        <v>151</v>
      </c>
    </row>
    <row r="22" spans="1:7" ht="70.8" customHeight="1" x14ac:dyDescent="0.3">
      <c r="A22" s="2" t="s">
        <v>35</v>
      </c>
      <c r="B22" s="2" t="s">
        <v>17</v>
      </c>
      <c r="C22" s="2" t="s">
        <v>131</v>
      </c>
      <c r="D22" s="2" t="s">
        <v>12</v>
      </c>
      <c r="E22" s="25"/>
      <c r="F22" s="25"/>
      <c r="G22" s="2" t="s">
        <v>152</v>
      </c>
    </row>
    <row r="23" spans="1:7" ht="76.2" customHeight="1" x14ac:dyDescent="0.3">
      <c r="A23" s="2" t="s">
        <v>36</v>
      </c>
      <c r="B23" s="2" t="s">
        <v>17</v>
      </c>
      <c r="C23" s="2" t="s">
        <v>132</v>
      </c>
      <c r="D23" s="2" t="s">
        <v>12</v>
      </c>
      <c r="E23" s="25"/>
      <c r="F23" s="25"/>
      <c r="G23" s="2" t="s">
        <v>153</v>
      </c>
    </row>
    <row r="24" spans="1:7" ht="70.8" customHeight="1" x14ac:dyDescent="0.3">
      <c r="A24" s="2" t="s">
        <v>37</v>
      </c>
      <c r="B24" s="2" t="s">
        <v>17</v>
      </c>
      <c r="C24" s="3" t="s">
        <v>133</v>
      </c>
      <c r="D24" s="2" t="s">
        <v>12</v>
      </c>
      <c r="E24" s="25"/>
      <c r="F24" s="25"/>
      <c r="G24" s="2" t="s">
        <v>154</v>
      </c>
    </row>
    <row r="25" spans="1:7" ht="86.4" customHeight="1" x14ac:dyDescent="0.3">
      <c r="A25" s="2" t="s">
        <v>38</v>
      </c>
      <c r="B25" s="2" t="s">
        <v>17</v>
      </c>
      <c r="C25" s="3" t="s">
        <v>134</v>
      </c>
      <c r="D25" s="2" t="s">
        <v>12</v>
      </c>
      <c r="E25" s="25"/>
      <c r="F25" s="25"/>
      <c r="G25" s="2" t="s">
        <v>155</v>
      </c>
    </row>
    <row r="26" spans="1:7" ht="66.599999999999994" customHeight="1" x14ac:dyDescent="0.3">
      <c r="A26" s="2" t="s">
        <v>39</v>
      </c>
      <c r="B26" s="2" t="s">
        <v>17</v>
      </c>
      <c r="C26" s="2" t="s">
        <v>135</v>
      </c>
      <c r="D26" s="2" t="s">
        <v>12</v>
      </c>
      <c r="E26" s="25"/>
      <c r="F26" s="25"/>
      <c r="G26" s="2" t="s">
        <v>156</v>
      </c>
    </row>
    <row r="27" spans="1:7" ht="52.8" customHeight="1" x14ac:dyDescent="0.3">
      <c r="A27" s="2" t="s">
        <v>40</v>
      </c>
      <c r="B27" s="2" t="s">
        <v>17</v>
      </c>
      <c r="C27" s="2" t="s">
        <v>19</v>
      </c>
      <c r="D27" s="2" t="s">
        <v>12</v>
      </c>
      <c r="E27" s="25"/>
      <c r="F27" s="25"/>
      <c r="G27" s="2" t="s">
        <v>49</v>
      </c>
    </row>
    <row r="28" spans="1:7" ht="43.2" customHeight="1" x14ac:dyDescent="0.3">
      <c r="A28" s="2" t="s">
        <v>108</v>
      </c>
      <c r="B28" s="2" t="s">
        <v>17</v>
      </c>
      <c r="C28" s="2" t="s">
        <v>41</v>
      </c>
      <c r="D28" s="2" t="s">
        <v>12</v>
      </c>
      <c r="E28" s="26"/>
      <c r="F28" s="26"/>
      <c r="G28" s="2" t="s">
        <v>50</v>
      </c>
    </row>
  </sheetData>
  <mergeCells count="3">
    <mergeCell ref="E3:E28"/>
    <mergeCell ref="F3:F28"/>
    <mergeCell ref="A1:G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9806-8E90-471D-A7D2-D805B327CB10}">
  <dimension ref="A1:P152"/>
  <sheetViews>
    <sheetView topLeftCell="A39" zoomScale="77" zoomScaleNormal="70" workbookViewId="0">
      <selection activeCell="G46" sqref="G46"/>
    </sheetView>
  </sheetViews>
  <sheetFormatPr defaultRowHeight="14.4" x14ac:dyDescent="0.3"/>
  <cols>
    <col min="1" max="3" width="15.44140625" customWidth="1"/>
    <col min="4" max="4" width="25.6640625" customWidth="1"/>
    <col min="5" max="5" width="52.5546875" customWidth="1"/>
    <col min="6" max="6" width="62.21875" customWidth="1"/>
    <col min="7" max="7" width="29.77734375" customWidth="1"/>
    <col min="8" max="8" width="14.77734375" customWidth="1"/>
    <col min="9" max="9" width="11.44140625" customWidth="1"/>
    <col min="10" max="10" width="17.21875" customWidth="1"/>
    <col min="11" max="11" width="17.6640625" customWidth="1"/>
    <col min="16" max="16" width="9.77734375" customWidth="1"/>
  </cols>
  <sheetData>
    <row r="1" spans="1:10" ht="21.6" customHeight="1" x14ac:dyDescent="0.3">
      <c r="A1" s="28" t="s">
        <v>58</v>
      </c>
      <c r="B1" s="29"/>
      <c r="C1" s="29"/>
      <c r="D1" s="29"/>
      <c r="E1" s="29"/>
      <c r="F1" s="29"/>
      <c r="G1" s="29"/>
      <c r="H1" s="29"/>
      <c r="I1" s="29"/>
      <c r="J1" s="29"/>
    </row>
    <row r="2" spans="1:10" ht="35.4" customHeight="1" x14ac:dyDescent="0.3">
      <c r="A2" s="15" t="s">
        <v>51</v>
      </c>
      <c r="B2" s="15" t="s">
        <v>52</v>
      </c>
      <c r="C2" s="15" t="s">
        <v>1</v>
      </c>
      <c r="D2" s="15" t="s">
        <v>53</v>
      </c>
      <c r="E2" s="15" t="s">
        <v>54</v>
      </c>
      <c r="F2" s="15" t="s">
        <v>55</v>
      </c>
      <c r="G2" s="15" t="s">
        <v>56</v>
      </c>
      <c r="H2" s="15" t="s">
        <v>57</v>
      </c>
      <c r="I2" s="15" t="s">
        <v>3</v>
      </c>
      <c r="J2" s="15" t="s">
        <v>229</v>
      </c>
    </row>
    <row r="3" spans="1:10" ht="199.8" customHeight="1" x14ac:dyDescent="0.3">
      <c r="A3" s="8" t="s">
        <v>75</v>
      </c>
      <c r="B3" s="8" t="s">
        <v>105</v>
      </c>
      <c r="C3" s="8" t="s">
        <v>106</v>
      </c>
      <c r="D3" s="8" t="s">
        <v>164</v>
      </c>
      <c r="E3" s="8" t="s">
        <v>180</v>
      </c>
      <c r="F3" s="8"/>
      <c r="G3" s="17" t="s">
        <v>220</v>
      </c>
      <c r="H3" s="8" t="s">
        <v>221</v>
      </c>
      <c r="I3" s="8" t="s">
        <v>12</v>
      </c>
      <c r="J3" s="8"/>
    </row>
    <row r="4" spans="1:10" ht="174" customHeight="1" x14ac:dyDescent="0.3">
      <c r="A4" s="8" t="s">
        <v>76</v>
      </c>
      <c r="B4" s="8" t="s">
        <v>14</v>
      </c>
      <c r="C4" s="8" t="s">
        <v>106</v>
      </c>
      <c r="D4" s="8" t="s">
        <v>210</v>
      </c>
      <c r="E4" s="8" t="s">
        <v>211</v>
      </c>
      <c r="F4" s="10"/>
      <c r="G4" s="16"/>
      <c r="H4" s="18" t="s">
        <v>228</v>
      </c>
      <c r="I4" s="16" t="s">
        <v>13</v>
      </c>
      <c r="J4" s="8" t="s">
        <v>230</v>
      </c>
    </row>
    <row r="5" spans="1:10" ht="174" customHeight="1" x14ac:dyDescent="0.3">
      <c r="A5" s="8" t="s">
        <v>79</v>
      </c>
      <c r="B5" s="8" t="s">
        <v>14</v>
      </c>
      <c r="C5" s="8" t="s">
        <v>106</v>
      </c>
      <c r="D5" s="8" t="s">
        <v>210</v>
      </c>
      <c r="E5" s="8" t="s">
        <v>264</v>
      </c>
      <c r="F5" s="10"/>
      <c r="G5" s="16"/>
      <c r="H5" s="16" t="s">
        <v>221</v>
      </c>
      <c r="I5" s="16" t="s">
        <v>12</v>
      </c>
      <c r="J5" s="8"/>
    </row>
    <row r="6" spans="1:10" ht="174" customHeight="1" x14ac:dyDescent="0.3">
      <c r="A6" s="8" t="s">
        <v>80</v>
      </c>
      <c r="B6" s="8" t="s">
        <v>18</v>
      </c>
      <c r="C6" s="8" t="s">
        <v>106</v>
      </c>
      <c r="D6" s="8" t="s">
        <v>246</v>
      </c>
      <c r="E6" s="8" t="s">
        <v>263</v>
      </c>
      <c r="F6" s="8" t="s">
        <v>247</v>
      </c>
      <c r="G6" s="16" t="s">
        <v>248</v>
      </c>
      <c r="H6" s="16" t="s">
        <v>78</v>
      </c>
      <c r="I6" s="16" t="s">
        <v>12</v>
      </c>
      <c r="J6" s="16" t="s">
        <v>265</v>
      </c>
    </row>
    <row r="7" spans="1:10" ht="82.8" customHeight="1" x14ac:dyDescent="0.3">
      <c r="A7" s="8" t="s">
        <v>81</v>
      </c>
      <c r="B7" s="8" t="s">
        <v>18</v>
      </c>
      <c r="C7" s="8" t="s">
        <v>106</v>
      </c>
      <c r="D7" s="8" t="s">
        <v>249</v>
      </c>
      <c r="E7" s="17" t="s">
        <v>250</v>
      </c>
      <c r="F7" s="8" t="s">
        <v>251</v>
      </c>
      <c r="G7" s="16" t="s">
        <v>220</v>
      </c>
      <c r="H7" s="16" t="s">
        <v>221</v>
      </c>
      <c r="I7" s="16" t="s">
        <v>12</v>
      </c>
      <c r="J7" s="16"/>
    </row>
    <row r="8" spans="1:10" ht="82.8" customHeight="1" x14ac:dyDescent="0.3">
      <c r="A8" s="8" t="s">
        <v>82</v>
      </c>
      <c r="B8" s="8" t="s">
        <v>18</v>
      </c>
      <c r="C8" s="8" t="s">
        <v>106</v>
      </c>
      <c r="D8" s="8" t="s">
        <v>252</v>
      </c>
      <c r="E8" s="17" t="s">
        <v>253</v>
      </c>
      <c r="F8" s="8" t="s">
        <v>254</v>
      </c>
      <c r="G8" s="16" t="s">
        <v>220</v>
      </c>
      <c r="H8" s="16" t="s">
        <v>221</v>
      </c>
      <c r="I8" s="16" t="s">
        <v>12</v>
      </c>
      <c r="J8" s="16"/>
    </row>
    <row r="9" spans="1:10" ht="82.8" customHeight="1" x14ac:dyDescent="0.3">
      <c r="A9" s="8" t="s">
        <v>83</v>
      </c>
      <c r="B9" s="8" t="s">
        <v>18</v>
      </c>
      <c r="C9" s="8" t="s">
        <v>106</v>
      </c>
      <c r="D9" s="8" t="s">
        <v>255</v>
      </c>
      <c r="E9" s="17" t="s">
        <v>256</v>
      </c>
      <c r="F9" s="8" t="s">
        <v>257</v>
      </c>
      <c r="G9" s="16" t="s">
        <v>220</v>
      </c>
      <c r="H9" s="16" t="s">
        <v>221</v>
      </c>
      <c r="I9" s="16" t="s">
        <v>12</v>
      </c>
      <c r="J9" s="16"/>
    </row>
    <row r="10" spans="1:10" ht="82.8" customHeight="1" x14ac:dyDescent="0.3">
      <c r="A10" s="8" t="s">
        <v>84</v>
      </c>
      <c r="B10" s="8" t="s">
        <v>18</v>
      </c>
      <c r="C10" s="8" t="s">
        <v>106</v>
      </c>
      <c r="D10" t="s">
        <v>258</v>
      </c>
      <c r="E10" s="17" t="s">
        <v>259</v>
      </c>
      <c r="F10" s="8" t="s">
        <v>260</v>
      </c>
      <c r="G10" s="16" t="s">
        <v>220</v>
      </c>
      <c r="H10" s="16" t="s">
        <v>221</v>
      </c>
      <c r="I10" s="16" t="s">
        <v>12</v>
      </c>
      <c r="J10" s="16"/>
    </row>
    <row r="11" spans="1:10" ht="187.2" customHeight="1" x14ac:dyDescent="0.3">
      <c r="A11" s="8" t="s">
        <v>85</v>
      </c>
      <c r="B11" s="8" t="s">
        <v>16</v>
      </c>
      <c r="C11" s="8" t="s">
        <v>106</v>
      </c>
      <c r="D11" s="8" t="s">
        <v>165</v>
      </c>
      <c r="E11" s="8" t="s">
        <v>181</v>
      </c>
      <c r="F11" s="8" t="s">
        <v>48</v>
      </c>
      <c r="G11" s="8" t="s">
        <v>220</v>
      </c>
      <c r="H11" s="8" t="s">
        <v>221</v>
      </c>
      <c r="I11" s="8" t="s">
        <v>12</v>
      </c>
      <c r="J11" s="8"/>
    </row>
    <row r="12" spans="1:10" ht="159" customHeight="1" x14ac:dyDescent="0.3">
      <c r="A12" s="8" t="s">
        <v>86</v>
      </c>
      <c r="B12" s="8" t="s">
        <v>20</v>
      </c>
      <c r="C12" s="8" t="s">
        <v>17</v>
      </c>
      <c r="D12" s="8" t="s">
        <v>110</v>
      </c>
      <c r="E12" s="8" t="s">
        <v>182</v>
      </c>
      <c r="F12" s="8" t="s">
        <v>111</v>
      </c>
      <c r="G12" s="8" t="s">
        <v>220</v>
      </c>
      <c r="H12" s="8" t="s">
        <v>221</v>
      </c>
      <c r="I12" s="8" t="s">
        <v>12</v>
      </c>
      <c r="J12" s="8"/>
    </row>
    <row r="13" spans="1:10" ht="159" customHeight="1" x14ac:dyDescent="0.3">
      <c r="A13" s="8" t="s">
        <v>87</v>
      </c>
      <c r="B13" s="8" t="s">
        <v>20</v>
      </c>
      <c r="C13" s="8" t="s">
        <v>17</v>
      </c>
      <c r="D13" s="8" t="s">
        <v>114</v>
      </c>
      <c r="E13" s="8" t="s">
        <v>183</v>
      </c>
      <c r="F13" s="8" t="s">
        <v>157</v>
      </c>
      <c r="G13" s="8" t="s">
        <v>220</v>
      </c>
      <c r="H13" s="8" t="s">
        <v>221</v>
      </c>
      <c r="I13" s="8" t="s">
        <v>12</v>
      </c>
      <c r="J13" s="8"/>
    </row>
    <row r="14" spans="1:10" ht="159" customHeight="1" x14ac:dyDescent="0.3">
      <c r="A14" s="8" t="s">
        <v>88</v>
      </c>
      <c r="B14" s="8" t="s">
        <v>21</v>
      </c>
      <c r="C14" s="8" t="s">
        <v>17</v>
      </c>
      <c r="D14" s="8" t="s">
        <v>115</v>
      </c>
      <c r="E14" s="8" t="s">
        <v>184</v>
      </c>
      <c r="F14" s="9" t="s">
        <v>138</v>
      </c>
      <c r="G14" s="8" t="s">
        <v>220</v>
      </c>
      <c r="H14" s="8" t="s">
        <v>221</v>
      </c>
      <c r="I14" s="8" t="s">
        <v>12</v>
      </c>
      <c r="J14" s="8"/>
    </row>
    <row r="15" spans="1:10" ht="159" customHeight="1" x14ac:dyDescent="0.3">
      <c r="A15" s="8" t="s">
        <v>89</v>
      </c>
      <c r="B15" s="8" t="s">
        <v>21</v>
      </c>
      <c r="C15" s="8" t="s">
        <v>17</v>
      </c>
      <c r="D15" s="8" t="s">
        <v>166</v>
      </c>
      <c r="E15" s="8" t="s">
        <v>185</v>
      </c>
      <c r="F15" s="9" t="s">
        <v>167</v>
      </c>
      <c r="G15" s="8" t="s">
        <v>220</v>
      </c>
      <c r="H15" s="8" t="s">
        <v>221</v>
      </c>
      <c r="I15" s="8" t="s">
        <v>12</v>
      </c>
      <c r="J15" s="8"/>
    </row>
    <row r="16" spans="1:10" ht="254.4" customHeight="1" x14ac:dyDescent="0.3">
      <c r="A16" s="8" t="s">
        <v>90</v>
      </c>
      <c r="B16" s="8" t="s">
        <v>22</v>
      </c>
      <c r="C16" s="8" t="s">
        <v>17</v>
      </c>
      <c r="D16" s="8" t="s">
        <v>116</v>
      </c>
      <c r="E16" s="8" t="s">
        <v>186</v>
      </c>
      <c r="F16" s="9" t="s">
        <v>139</v>
      </c>
      <c r="G16" s="8" t="s">
        <v>220</v>
      </c>
      <c r="H16" s="8" t="s">
        <v>221</v>
      </c>
      <c r="I16" s="8" t="s">
        <v>12</v>
      </c>
      <c r="J16" s="8"/>
    </row>
    <row r="17" spans="1:10" ht="159" customHeight="1" x14ac:dyDescent="0.3">
      <c r="A17" s="8" t="s">
        <v>91</v>
      </c>
      <c r="B17" s="8" t="s">
        <v>23</v>
      </c>
      <c r="C17" s="8" t="s">
        <v>17</v>
      </c>
      <c r="D17" s="9" t="s">
        <v>119</v>
      </c>
      <c r="E17" s="8" t="s">
        <v>187</v>
      </c>
      <c r="F17" s="9" t="s">
        <v>140</v>
      </c>
      <c r="G17" s="8" t="s">
        <v>236</v>
      </c>
      <c r="H17" s="8" t="s">
        <v>78</v>
      </c>
      <c r="I17" s="8" t="s">
        <v>13</v>
      </c>
      <c r="J17" s="8"/>
    </row>
    <row r="18" spans="1:10" ht="159" customHeight="1" x14ac:dyDescent="0.3">
      <c r="A18" s="8" t="s">
        <v>92</v>
      </c>
      <c r="B18" s="8" t="s">
        <v>23</v>
      </c>
      <c r="C18" s="8" t="s">
        <v>17</v>
      </c>
      <c r="D18" s="9" t="s">
        <v>231</v>
      </c>
      <c r="E18" s="8" t="s">
        <v>232</v>
      </c>
      <c r="F18" s="9" t="s">
        <v>235</v>
      </c>
      <c r="G18" s="8" t="s">
        <v>220</v>
      </c>
      <c r="H18" s="8" t="s">
        <v>221</v>
      </c>
      <c r="I18" s="8" t="s">
        <v>12</v>
      </c>
      <c r="J18" s="8"/>
    </row>
    <row r="19" spans="1:10" ht="159" customHeight="1" x14ac:dyDescent="0.3">
      <c r="A19" s="8" t="s">
        <v>93</v>
      </c>
      <c r="B19" s="8" t="s">
        <v>23</v>
      </c>
      <c r="C19" s="8" t="s">
        <v>17</v>
      </c>
      <c r="D19" s="9" t="s">
        <v>233</v>
      </c>
      <c r="E19" s="8" t="s">
        <v>234</v>
      </c>
      <c r="F19" s="9" t="s">
        <v>235</v>
      </c>
      <c r="G19" s="8" t="s">
        <v>220</v>
      </c>
      <c r="H19" s="8" t="s">
        <v>221</v>
      </c>
      <c r="I19" s="8" t="s">
        <v>12</v>
      </c>
      <c r="J19" s="8"/>
    </row>
    <row r="20" spans="1:10" ht="210.6" customHeight="1" x14ac:dyDescent="0.3">
      <c r="A20" s="8" t="s">
        <v>94</v>
      </c>
      <c r="B20" s="8" t="s">
        <v>24</v>
      </c>
      <c r="C20" s="8" t="s">
        <v>17</v>
      </c>
      <c r="D20" s="9" t="s">
        <v>120</v>
      </c>
      <c r="E20" s="8" t="s">
        <v>207</v>
      </c>
      <c r="F20" s="9" t="s">
        <v>141</v>
      </c>
      <c r="G20" s="8" t="s">
        <v>220</v>
      </c>
      <c r="H20" s="8" t="s">
        <v>221</v>
      </c>
      <c r="I20" s="8" t="s">
        <v>12</v>
      </c>
      <c r="J20" s="8"/>
    </row>
    <row r="21" spans="1:10" ht="159" customHeight="1" x14ac:dyDescent="0.3">
      <c r="A21" s="8" t="s">
        <v>95</v>
      </c>
      <c r="B21" s="8" t="s">
        <v>24</v>
      </c>
      <c r="C21" s="8" t="s">
        <v>17</v>
      </c>
      <c r="D21" s="8" t="s">
        <v>176</v>
      </c>
      <c r="E21" s="8" t="s">
        <v>188</v>
      </c>
      <c r="F21" s="9" t="s">
        <v>179</v>
      </c>
      <c r="G21" s="8" t="s">
        <v>220</v>
      </c>
      <c r="H21" s="8" t="s">
        <v>221</v>
      </c>
      <c r="I21" s="8" t="s">
        <v>12</v>
      </c>
      <c r="J21" s="8"/>
    </row>
    <row r="22" spans="1:10" ht="159" customHeight="1" x14ac:dyDescent="0.3">
      <c r="A22" s="8" t="s">
        <v>96</v>
      </c>
      <c r="B22" s="8" t="s">
        <v>25</v>
      </c>
      <c r="C22" s="8" t="s">
        <v>17</v>
      </c>
      <c r="D22" s="9" t="s">
        <v>121</v>
      </c>
      <c r="E22" s="8" t="s">
        <v>189</v>
      </c>
      <c r="F22" s="9" t="s">
        <v>142</v>
      </c>
      <c r="G22" s="8" t="s">
        <v>237</v>
      </c>
      <c r="H22" s="8" t="s">
        <v>228</v>
      </c>
      <c r="I22" s="8" t="s">
        <v>13</v>
      </c>
      <c r="J22" s="8"/>
    </row>
    <row r="23" spans="1:10" ht="159" customHeight="1" x14ac:dyDescent="0.3">
      <c r="A23" s="8" t="s">
        <v>97</v>
      </c>
      <c r="B23" s="8" t="s">
        <v>25</v>
      </c>
      <c r="C23" s="8" t="s">
        <v>17</v>
      </c>
      <c r="D23" s="8" t="s">
        <v>177</v>
      </c>
      <c r="E23" s="8" t="s">
        <v>190</v>
      </c>
      <c r="F23" s="9" t="s">
        <v>178</v>
      </c>
      <c r="G23" s="8" t="s">
        <v>220</v>
      </c>
      <c r="H23" s="8" t="s">
        <v>221</v>
      </c>
      <c r="I23" s="8" t="s">
        <v>12</v>
      </c>
      <c r="J23" s="8"/>
    </row>
    <row r="24" spans="1:10" ht="159" customHeight="1" x14ac:dyDescent="0.3">
      <c r="A24" s="8" t="s">
        <v>98</v>
      </c>
      <c r="B24" s="8" t="s">
        <v>26</v>
      </c>
      <c r="C24" s="8" t="s">
        <v>17</v>
      </c>
      <c r="D24" s="9" t="s">
        <v>122</v>
      </c>
      <c r="E24" s="8" t="s">
        <v>191</v>
      </c>
      <c r="F24" s="9" t="s">
        <v>143</v>
      </c>
      <c r="G24" s="8" t="s">
        <v>237</v>
      </c>
      <c r="H24" s="8" t="s">
        <v>228</v>
      </c>
      <c r="I24" s="8" t="s">
        <v>12</v>
      </c>
      <c r="J24" s="8"/>
    </row>
    <row r="25" spans="1:10" ht="159" customHeight="1" x14ac:dyDescent="0.3">
      <c r="A25" s="8" t="s">
        <v>99</v>
      </c>
      <c r="B25" s="8" t="s">
        <v>27</v>
      </c>
      <c r="C25" s="8" t="s">
        <v>17</v>
      </c>
      <c r="D25" s="9" t="s">
        <v>123</v>
      </c>
      <c r="E25" s="8" t="s">
        <v>192</v>
      </c>
      <c r="F25" s="9" t="s">
        <v>144</v>
      </c>
      <c r="G25" s="8" t="s">
        <v>220</v>
      </c>
      <c r="H25" s="8" t="s">
        <v>221</v>
      </c>
      <c r="I25" s="8" t="s">
        <v>12</v>
      </c>
      <c r="J25" s="8"/>
    </row>
    <row r="26" spans="1:10" ht="159" customHeight="1" x14ac:dyDescent="0.3">
      <c r="A26" s="8" t="s">
        <v>100</v>
      </c>
      <c r="B26" s="8" t="s">
        <v>27</v>
      </c>
      <c r="C26" s="8" t="s">
        <v>17</v>
      </c>
      <c r="D26" s="8" t="s">
        <v>175</v>
      </c>
      <c r="E26" s="8" t="s">
        <v>208</v>
      </c>
      <c r="F26" s="9"/>
      <c r="G26" s="8" t="s">
        <v>238</v>
      </c>
      <c r="H26" s="8" t="s">
        <v>228</v>
      </c>
      <c r="I26" s="8" t="s">
        <v>12</v>
      </c>
      <c r="J26" s="8"/>
    </row>
    <row r="27" spans="1:10" ht="159" customHeight="1" x14ac:dyDescent="0.3">
      <c r="A27" s="8" t="s">
        <v>101</v>
      </c>
      <c r="B27" s="8" t="s">
        <v>28</v>
      </c>
      <c r="C27" s="8" t="s">
        <v>17</v>
      </c>
      <c r="D27" s="9" t="s">
        <v>124</v>
      </c>
      <c r="E27" s="8" t="s">
        <v>193</v>
      </c>
      <c r="F27" s="9" t="s">
        <v>145</v>
      </c>
      <c r="G27" s="8" t="s">
        <v>220</v>
      </c>
      <c r="H27" s="8" t="s">
        <v>221</v>
      </c>
      <c r="I27" s="8" t="s">
        <v>12</v>
      </c>
      <c r="J27" s="8"/>
    </row>
    <row r="28" spans="1:10" ht="159" customHeight="1" x14ac:dyDescent="0.3">
      <c r="A28" s="8" t="s">
        <v>102</v>
      </c>
      <c r="B28" s="8" t="s">
        <v>29</v>
      </c>
      <c r="C28" s="8" t="s">
        <v>17</v>
      </c>
      <c r="D28" s="9" t="s">
        <v>125</v>
      </c>
      <c r="E28" s="8" t="s">
        <v>194</v>
      </c>
      <c r="F28" s="9" t="s">
        <v>146</v>
      </c>
      <c r="G28" s="8" t="s">
        <v>237</v>
      </c>
      <c r="H28" s="8" t="s">
        <v>228</v>
      </c>
      <c r="I28" s="8" t="s">
        <v>12</v>
      </c>
      <c r="J28" s="8"/>
    </row>
    <row r="29" spans="1:10" ht="159" customHeight="1" x14ac:dyDescent="0.3">
      <c r="A29" s="8" t="s">
        <v>103</v>
      </c>
      <c r="B29" s="8" t="s">
        <v>30</v>
      </c>
      <c r="C29" s="8" t="s">
        <v>17</v>
      </c>
      <c r="D29" s="9" t="s">
        <v>126</v>
      </c>
      <c r="E29" s="8" t="s">
        <v>195</v>
      </c>
      <c r="F29" s="9" t="s">
        <v>147</v>
      </c>
      <c r="G29" s="8" t="s">
        <v>239</v>
      </c>
      <c r="H29" s="8" t="s">
        <v>78</v>
      </c>
      <c r="I29" s="8" t="s">
        <v>12</v>
      </c>
      <c r="J29" s="8"/>
    </row>
    <row r="30" spans="1:10" ht="159" customHeight="1" x14ac:dyDescent="0.3">
      <c r="A30" s="8" t="s">
        <v>104</v>
      </c>
      <c r="B30" s="8" t="s">
        <v>31</v>
      </c>
      <c r="C30" s="8" t="s">
        <v>17</v>
      </c>
      <c r="D30" s="9" t="s">
        <v>127</v>
      </c>
      <c r="E30" s="8" t="s">
        <v>196</v>
      </c>
      <c r="F30" s="9" t="s">
        <v>148</v>
      </c>
      <c r="G30" s="8" t="s">
        <v>240</v>
      </c>
      <c r="H30" s="8" t="s">
        <v>78</v>
      </c>
      <c r="I30" s="8" t="s">
        <v>12</v>
      </c>
      <c r="J30" s="8"/>
    </row>
    <row r="31" spans="1:10" ht="159" customHeight="1" x14ac:dyDescent="0.3">
      <c r="A31" s="8" t="s">
        <v>107</v>
      </c>
      <c r="B31" s="8" t="s">
        <v>32</v>
      </c>
      <c r="C31" s="8" t="s">
        <v>17</v>
      </c>
      <c r="D31" s="9" t="s">
        <v>128</v>
      </c>
      <c r="E31" s="8" t="s">
        <v>197</v>
      </c>
      <c r="F31" s="9" t="s">
        <v>149</v>
      </c>
      <c r="G31" s="8" t="s">
        <v>220</v>
      </c>
      <c r="H31" s="8" t="s">
        <v>221</v>
      </c>
      <c r="I31" s="8" t="s">
        <v>12</v>
      </c>
      <c r="J31" s="8"/>
    </row>
    <row r="32" spans="1:10" ht="159" customHeight="1" x14ac:dyDescent="0.3">
      <c r="A32" s="8" t="s">
        <v>109</v>
      </c>
      <c r="B32" s="8" t="s">
        <v>33</v>
      </c>
      <c r="C32" s="8" t="s">
        <v>17</v>
      </c>
      <c r="D32" s="9" t="s">
        <v>129</v>
      </c>
      <c r="E32" s="8" t="s">
        <v>198</v>
      </c>
      <c r="F32" s="9" t="s">
        <v>150</v>
      </c>
      <c r="G32" s="8" t="s">
        <v>220</v>
      </c>
      <c r="H32" s="8" t="s">
        <v>221</v>
      </c>
      <c r="I32" s="8" t="s">
        <v>12</v>
      </c>
      <c r="J32" s="8" t="s">
        <v>241</v>
      </c>
    </row>
    <row r="33" spans="1:10" ht="159" customHeight="1" x14ac:dyDescent="0.3">
      <c r="A33" s="8" t="s">
        <v>112</v>
      </c>
      <c r="B33" s="8" t="s">
        <v>34</v>
      </c>
      <c r="C33" s="8" t="s">
        <v>17</v>
      </c>
      <c r="D33" s="9" t="s">
        <v>130</v>
      </c>
      <c r="E33" s="8" t="s">
        <v>199</v>
      </c>
      <c r="F33" s="9" t="s">
        <v>151</v>
      </c>
      <c r="G33" s="8" t="s">
        <v>242</v>
      </c>
      <c r="H33" s="8" t="s">
        <v>228</v>
      </c>
      <c r="I33" s="8" t="s">
        <v>12</v>
      </c>
      <c r="J33" s="8"/>
    </row>
    <row r="34" spans="1:10" ht="159" customHeight="1" x14ac:dyDescent="0.3">
      <c r="A34" s="8" t="s">
        <v>113</v>
      </c>
      <c r="B34" s="8" t="s">
        <v>35</v>
      </c>
      <c r="C34" s="8" t="s">
        <v>17</v>
      </c>
      <c r="D34" s="9" t="s">
        <v>131</v>
      </c>
      <c r="E34" s="8" t="s">
        <v>200</v>
      </c>
      <c r="F34" s="9" t="s">
        <v>152</v>
      </c>
      <c r="G34" s="8" t="s">
        <v>220</v>
      </c>
      <c r="H34" s="8" t="s">
        <v>221</v>
      </c>
      <c r="I34" s="8" t="s">
        <v>12</v>
      </c>
      <c r="J34" s="8"/>
    </row>
    <row r="35" spans="1:10" ht="159" customHeight="1" x14ac:dyDescent="0.3">
      <c r="A35" s="8" t="s">
        <v>158</v>
      </c>
      <c r="B35" s="8" t="s">
        <v>36</v>
      </c>
      <c r="C35" s="8" t="s">
        <v>17</v>
      </c>
      <c r="D35" s="9" t="s">
        <v>132</v>
      </c>
      <c r="E35" s="8" t="s">
        <v>201</v>
      </c>
      <c r="F35" s="9" t="s">
        <v>153</v>
      </c>
      <c r="G35" s="8" t="s">
        <v>220</v>
      </c>
      <c r="H35" s="8" t="s">
        <v>221</v>
      </c>
      <c r="I35" s="8" t="s">
        <v>12</v>
      </c>
      <c r="J35" s="8"/>
    </row>
    <row r="36" spans="1:10" ht="159" customHeight="1" x14ac:dyDescent="0.3">
      <c r="A36" s="8" t="s">
        <v>159</v>
      </c>
      <c r="B36" s="8" t="s">
        <v>37</v>
      </c>
      <c r="C36" s="8" t="s">
        <v>17</v>
      </c>
      <c r="D36" s="9" t="s">
        <v>133</v>
      </c>
      <c r="E36" s="8" t="s">
        <v>202</v>
      </c>
      <c r="F36" s="9" t="s">
        <v>154</v>
      </c>
      <c r="G36" s="8" t="s">
        <v>220</v>
      </c>
      <c r="H36" s="8" t="s">
        <v>221</v>
      </c>
      <c r="I36" s="8" t="s">
        <v>12</v>
      </c>
      <c r="J36" s="8"/>
    </row>
    <row r="37" spans="1:10" ht="159" customHeight="1" x14ac:dyDescent="0.3">
      <c r="A37" s="8" t="s">
        <v>160</v>
      </c>
      <c r="B37" s="8" t="s">
        <v>38</v>
      </c>
      <c r="C37" s="8" t="s">
        <v>17</v>
      </c>
      <c r="D37" s="9" t="s">
        <v>134</v>
      </c>
      <c r="E37" s="8" t="s">
        <v>203</v>
      </c>
      <c r="F37" s="9" t="s">
        <v>155</v>
      </c>
      <c r="G37" s="8" t="s">
        <v>220</v>
      </c>
      <c r="H37" s="8" t="s">
        <v>221</v>
      </c>
      <c r="I37" s="8" t="s">
        <v>12</v>
      </c>
      <c r="J37" s="8"/>
    </row>
    <row r="38" spans="1:10" ht="159" customHeight="1" x14ac:dyDescent="0.3">
      <c r="A38" s="8" t="s">
        <v>161</v>
      </c>
      <c r="B38" s="8" t="s">
        <v>39</v>
      </c>
      <c r="C38" s="8" t="s">
        <v>17</v>
      </c>
      <c r="D38" s="9" t="s">
        <v>135</v>
      </c>
      <c r="E38" s="8" t="s">
        <v>204</v>
      </c>
      <c r="F38" s="9" t="s">
        <v>156</v>
      </c>
      <c r="G38" s="8" t="s">
        <v>220</v>
      </c>
      <c r="H38" s="8" t="s">
        <v>221</v>
      </c>
      <c r="I38" s="8" t="s">
        <v>12</v>
      </c>
      <c r="J38" s="8"/>
    </row>
    <row r="39" spans="1:10" ht="159" customHeight="1" x14ac:dyDescent="0.3">
      <c r="A39" s="8" t="s">
        <v>162</v>
      </c>
      <c r="B39" s="8" t="s">
        <v>40</v>
      </c>
      <c r="C39" s="8" t="s">
        <v>17</v>
      </c>
      <c r="D39" s="9" t="s">
        <v>19</v>
      </c>
      <c r="E39" s="8" t="s">
        <v>205</v>
      </c>
      <c r="F39" s="9" t="s">
        <v>49</v>
      </c>
      <c r="G39" s="8" t="s">
        <v>244</v>
      </c>
      <c r="H39" s="8" t="s">
        <v>243</v>
      </c>
      <c r="I39" s="8" t="s">
        <v>12</v>
      </c>
      <c r="J39" s="8"/>
    </row>
    <row r="40" spans="1:10" ht="159" customHeight="1" x14ac:dyDescent="0.3">
      <c r="A40" s="8" t="s">
        <v>163</v>
      </c>
      <c r="B40" s="8" t="s">
        <v>108</v>
      </c>
      <c r="C40" s="8" t="s">
        <v>17</v>
      </c>
      <c r="D40" s="9" t="s">
        <v>41</v>
      </c>
      <c r="E40" s="8" t="s">
        <v>206</v>
      </c>
      <c r="F40" s="9" t="s">
        <v>50</v>
      </c>
      <c r="G40" s="8" t="s">
        <v>245</v>
      </c>
      <c r="H40" s="8" t="s">
        <v>243</v>
      </c>
      <c r="I40" s="8" t="s">
        <v>12</v>
      </c>
      <c r="J40" s="8"/>
    </row>
    <row r="46" spans="1:10" x14ac:dyDescent="0.3">
      <c r="G46">
        <f>COUNTIF(H3:H40,"PASS")</f>
        <v>26</v>
      </c>
    </row>
    <row r="47" spans="1:10" x14ac:dyDescent="0.3">
      <c r="G47">
        <f>COUNTIF(H3:H40,"PARTIAL PASS")</f>
        <v>6</v>
      </c>
    </row>
    <row r="48" spans="1:10" x14ac:dyDescent="0.3">
      <c r="G48">
        <f>G46+G47</f>
        <v>32</v>
      </c>
    </row>
    <row r="49" spans="1:7" x14ac:dyDescent="0.3">
      <c r="G49">
        <f>46-G48</f>
        <v>14</v>
      </c>
    </row>
    <row r="60" spans="1:7" x14ac:dyDescent="0.3">
      <c r="A60" s="4" t="s">
        <v>67</v>
      </c>
      <c r="B60" s="4" t="s">
        <v>60</v>
      </c>
      <c r="C60" s="4" t="s">
        <v>61</v>
      </c>
      <c r="D60" s="4" t="s">
        <v>64</v>
      </c>
    </row>
    <row r="61" spans="1:7" x14ac:dyDescent="0.3">
      <c r="A61" s="5" t="s">
        <v>59</v>
      </c>
      <c r="B61" s="5" t="s">
        <v>62</v>
      </c>
      <c r="C61" s="5" t="s">
        <v>62</v>
      </c>
      <c r="D61" s="7" t="s">
        <v>77</v>
      </c>
    </row>
    <row r="62" spans="1:7" x14ac:dyDescent="0.3">
      <c r="A62" s="5" t="s">
        <v>65</v>
      </c>
      <c r="B62" s="5" t="s">
        <v>63</v>
      </c>
      <c r="C62" s="5" t="s">
        <v>63</v>
      </c>
      <c r="D62" s="6" t="s">
        <v>78</v>
      </c>
    </row>
    <row r="63" spans="1:7" x14ac:dyDescent="0.3">
      <c r="A63" s="5" t="s">
        <v>68</v>
      </c>
      <c r="B63" s="5" t="s">
        <v>63</v>
      </c>
      <c r="C63" s="5" t="s">
        <v>62</v>
      </c>
      <c r="D63" s="6" t="s">
        <v>78</v>
      </c>
    </row>
    <row r="64" spans="1:7" x14ac:dyDescent="0.3">
      <c r="A64" s="5" t="s">
        <v>69</v>
      </c>
      <c r="B64" s="5" t="s">
        <v>62</v>
      </c>
      <c r="C64" s="5" t="s">
        <v>63</v>
      </c>
      <c r="D64" s="6" t="s">
        <v>78</v>
      </c>
    </row>
    <row r="65" spans="1:4" x14ac:dyDescent="0.3">
      <c r="A65" s="5" t="s">
        <v>70</v>
      </c>
      <c r="B65" s="5" t="s">
        <v>66</v>
      </c>
      <c r="C65" s="5" t="s">
        <v>66</v>
      </c>
      <c r="D65" s="6" t="s">
        <v>78</v>
      </c>
    </row>
    <row r="66" spans="1:4" x14ac:dyDescent="0.3">
      <c r="A66" s="5" t="s">
        <v>71</v>
      </c>
      <c r="B66" s="5" t="s">
        <v>66</v>
      </c>
      <c r="C66" s="5" t="s">
        <v>62</v>
      </c>
      <c r="D66" s="6" t="s">
        <v>78</v>
      </c>
    </row>
    <row r="67" spans="1:4" x14ac:dyDescent="0.3">
      <c r="A67" s="5" t="s">
        <v>72</v>
      </c>
      <c r="B67" s="5" t="s">
        <v>62</v>
      </c>
      <c r="C67" s="5" t="s">
        <v>66</v>
      </c>
      <c r="D67" s="6" t="s">
        <v>78</v>
      </c>
    </row>
    <row r="68" spans="1:4" x14ac:dyDescent="0.3">
      <c r="A68" s="5" t="s">
        <v>73</v>
      </c>
      <c r="B68" s="5" t="s">
        <v>63</v>
      </c>
      <c r="C68" s="5" t="s">
        <v>66</v>
      </c>
      <c r="D68" s="6" t="s">
        <v>78</v>
      </c>
    </row>
    <row r="69" spans="1:4" x14ac:dyDescent="0.3">
      <c r="A69" s="5" t="s">
        <v>74</v>
      </c>
      <c r="B69" s="5" t="s">
        <v>66</v>
      </c>
      <c r="C69" s="5" t="s">
        <v>63</v>
      </c>
      <c r="D69" s="6" t="s">
        <v>78</v>
      </c>
    </row>
    <row r="92" spans="13:15" x14ac:dyDescent="0.3">
      <c r="M92" s="4" t="s">
        <v>168</v>
      </c>
      <c r="N92" s="4" t="s">
        <v>169</v>
      </c>
      <c r="O92" s="4" t="s">
        <v>170</v>
      </c>
    </row>
    <row r="93" spans="13:15" x14ac:dyDescent="0.3">
      <c r="M93" s="11" t="s">
        <v>172</v>
      </c>
      <c r="N93" s="11" t="s">
        <v>171</v>
      </c>
      <c r="O93" s="7" t="s">
        <v>77</v>
      </c>
    </row>
    <row r="94" spans="13:15" x14ac:dyDescent="0.3">
      <c r="M94" s="11" t="s">
        <v>174</v>
      </c>
      <c r="N94" s="11" t="s">
        <v>171</v>
      </c>
      <c r="O94" s="6" t="s">
        <v>78</v>
      </c>
    </row>
    <row r="95" spans="13:15" ht="28.2" customHeight="1" x14ac:dyDescent="0.3">
      <c r="M95" s="12" t="s">
        <v>174</v>
      </c>
      <c r="N95" s="13" t="s">
        <v>173</v>
      </c>
      <c r="O95" s="14" t="s">
        <v>78</v>
      </c>
    </row>
    <row r="96" spans="13:15" ht="28.8" x14ac:dyDescent="0.3">
      <c r="M96" s="11" t="s">
        <v>172</v>
      </c>
      <c r="N96" s="13" t="s">
        <v>173</v>
      </c>
      <c r="O96" s="14" t="s">
        <v>78</v>
      </c>
    </row>
    <row r="99" spans="10:16" x14ac:dyDescent="0.3">
      <c r="O99" s="4" t="s">
        <v>209</v>
      </c>
      <c r="P99" s="4" t="s">
        <v>170</v>
      </c>
    </row>
    <row r="100" spans="10:16" x14ac:dyDescent="0.3">
      <c r="O100" s="11" t="s">
        <v>59</v>
      </c>
      <c r="P100" s="7" t="s">
        <v>77</v>
      </c>
    </row>
    <row r="101" spans="10:16" ht="22.8" customHeight="1" x14ac:dyDescent="0.3">
      <c r="J101" s="4" t="s">
        <v>222</v>
      </c>
      <c r="K101" s="4" t="s">
        <v>223</v>
      </c>
      <c r="O101" s="11" t="s">
        <v>65</v>
      </c>
      <c r="P101" s="6" t="s">
        <v>78</v>
      </c>
    </row>
    <row r="102" spans="10:16" ht="22.8" customHeight="1" x14ac:dyDescent="0.3">
      <c r="J102" s="11" t="s">
        <v>224</v>
      </c>
      <c r="K102" s="6" t="s">
        <v>78</v>
      </c>
      <c r="O102" s="11" t="s">
        <v>68</v>
      </c>
      <c r="P102" s="6" t="s">
        <v>78</v>
      </c>
    </row>
    <row r="103" spans="10:16" ht="22.8" customHeight="1" x14ac:dyDescent="0.3">
      <c r="J103" s="11" t="s">
        <v>225</v>
      </c>
      <c r="K103" s="7" t="s">
        <v>77</v>
      </c>
      <c r="O103" s="11" t="s">
        <v>69</v>
      </c>
      <c r="P103" s="6" t="s">
        <v>78</v>
      </c>
    </row>
    <row r="104" spans="10:16" ht="22.8" customHeight="1" x14ac:dyDescent="0.3">
      <c r="J104" s="11" t="s">
        <v>226</v>
      </c>
      <c r="K104" s="6" t="s">
        <v>78</v>
      </c>
      <c r="O104" s="11" t="s">
        <v>70</v>
      </c>
      <c r="P104" s="6" t="s">
        <v>78</v>
      </c>
    </row>
    <row r="105" spans="10:16" ht="22.8" customHeight="1" x14ac:dyDescent="0.3">
      <c r="J105" s="11" t="s">
        <v>227</v>
      </c>
      <c r="K105" s="6" t="s">
        <v>78</v>
      </c>
      <c r="O105" s="11" t="s">
        <v>71</v>
      </c>
      <c r="P105" s="6" t="s">
        <v>78</v>
      </c>
    </row>
    <row r="106" spans="10:16" x14ac:dyDescent="0.3">
      <c r="O106" s="11" t="s">
        <v>72</v>
      </c>
      <c r="P106" s="6" t="s">
        <v>78</v>
      </c>
    </row>
    <row r="107" spans="10:16" x14ac:dyDescent="0.3">
      <c r="O107" s="11" t="s">
        <v>73</v>
      </c>
      <c r="P107" s="6" t="s">
        <v>78</v>
      </c>
    </row>
    <row r="108" spans="10:16" x14ac:dyDescent="0.3">
      <c r="O108" s="11" t="s">
        <v>74</v>
      </c>
      <c r="P108" s="6" t="s">
        <v>78</v>
      </c>
    </row>
    <row r="110" spans="10:16" ht="24.6" customHeight="1" x14ac:dyDescent="0.3">
      <c r="K110" s="4" t="s">
        <v>222</v>
      </c>
      <c r="L110" s="4" t="s">
        <v>223</v>
      </c>
      <c r="N110" s="4" t="s">
        <v>222</v>
      </c>
      <c r="O110" s="4" t="s">
        <v>223</v>
      </c>
    </row>
    <row r="111" spans="10:16" ht="24.6" customHeight="1" x14ac:dyDescent="0.3">
      <c r="K111" s="11" t="s">
        <v>224</v>
      </c>
      <c r="L111" s="7" t="s">
        <v>77</v>
      </c>
      <c r="N111" s="11" t="s">
        <v>224</v>
      </c>
      <c r="O111" s="6" t="s">
        <v>78</v>
      </c>
    </row>
    <row r="112" spans="10:16" ht="24.6" customHeight="1" x14ac:dyDescent="0.3">
      <c r="K112" s="11" t="s">
        <v>225</v>
      </c>
      <c r="L112" s="7" t="s">
        <v>77</v>
      </c>
      <c r="N112" s="11" t="s">
        <v>225</v>
      </c>
      <c r="O112" s="6" t="s">
        <v>78</v>
      </c>
    </row>
    <row r="113" spans="7:15" ht="24.6" customHeight="1" x14ac:dyDescent="0.3">
      <c r="K113" s="11" t="s">
        <v>226</v>
      </c>
      <c r="L113" s="7" t="s">
        <v>77</v>
      </c>
      <c r="N113" s="11" t="s">
        <v>226</v>
      </c>
      <c r="O113" s="7" t="s">
        <v>77</v>
      </c>
    </row>
    <row r="114" spans="7:15" ht="24.6" customHeight="1" x14ac:dyDescent="0.3">
      <c r="K114" s="11" t="s">
        <v>227</v>
      </c>
      <c r="L114" s="7" t="s">
        <v>77</v>
      </c>
      <c r="N114" s="11" t="s">
        <v>227</v>
      </c>
      <c r="O114" s="6" t="s">
        <v>78</v>
      </c>
    </row>
    <row r="122" spans="7:15" x14ac:dyDescent="0.3">
      <c r="G122" s="11"/>
      <c r="H122" s="11"/>
    </row>
    <row r="123" spans="7:15" x14ac:dyDescent="0.3">
      <c r="G123" s="20"/>
      <c r="H123" s="20"/>
    </row>
    <row r="124" spans="7:15" x14ac:dyDescent="0.3">
      <c r="G124" s="21"/>
      <c r="H124" s="9"/>
    </row>
    <row r="125" spans="7:15" x14ac:dyDescent="0.3">
      <c r="G125" s="21"/>
      <c r="H125" s="9"/>
    </row>
    <row r="126" spans="7:15" x14ac:dyDescent="0.3">
      <c r="G126" s="21"/>
      <c r="H126" s="9"/>
    </row>
    <row r="127" spans="7:15" x14ac:dyDescent="0.3">
      <c r="G127" s="21"/>
      <c r="H127" s="9"/>
    </row>
    <row r="128" spans="7:15" x14ac:dyDescent="0.3">
      <c r="G128" s="21"/>
      <c r="H128" s="9"/>
    </row>
    <row r="129" spans="7:8" x14ac:dyDescent="0.3">
      <c r="G129" s="21"/>
      <c r="H129" s="9"/>
    </row>
    <row r="130" spans="7:8" x14ac:dyDescent="0.3">
      <c r="G130" s="21"/>
      <c r="H130" s="9"/>
    </row>
    <row r="131" spans="7:8" x14ac:dyDescent="0.3">
      <c r="G131" s="21"/>
      <c r="H131" s="9"/>
    </row>
    <row r="132" spans="7:8" x14ac:dyDescent="0.3">
      <c r="G132" s="21"/>
      <c r="H132" s="9"/>
    </row>
    <row r="133" spans="7:8" x14ac:dyDescent="0.3">
      <c r="G133" s="21"/>
      <c r="H133" s="9"/>
    </row>
    <row r="134" spans="7:8" x14ac:dyDescent="0.3">
      <c r="G134" s="21"/>
      <c r="H134" s="9"/>
    </row>
    <row r="135" spans="7:8" x14ac:dyDescent="0.3">
      <c r="G135" s="21"/>
      <c r="H135" s="9"/>
    </row>
    <row r="136" spans="7:8" x14ac:dyDescent="0.3">
      <c r="G136" s="21"/>
      <c r="H136" s="9"/>
    </row>
    <row r="137" spans="7:8" x14ac:dyDescent="0.3">
      <c r="G137" s="21"/>
      <c r="H137" s="9"/>
    </row>
    <row r="138" spans="7:8" x14ac:dyDescent="0.3">
      <c r="G138" s="21"/>
      <c r="H138" s="9"/>
    </row>
    <row r="139" spans="7:8" x14ac:dyDescent="0.3">
      <c r="G139" s="21"/>
      <c r="H139" s="9"/>
    </row>
    <row r="140" spans="7:8" x14ac:dyDescent="0.3">
      <c r="G140" s="21"/>
      <c r="H140" s="9"/>
    </row>
    <row r="141" spans="7:8" x14ac:dyDescent="0.3">
      <c r="G141" s="21"/>
      <c r="H141" s="9"/>
    </row>
    <row r="142" spans="7:8" x14ac:dyDescent="0.3">
      <c r="G142" s="21"/>
      <c r="H142" s="9"/>
    </row>
    <row r="143" spans="7:8" x14ac:dyDescent="0.3">
      <c r="G143" s="21"/>
      <c r="H143" s="9"/>
    </row>
    <row r="144" spans="7:8" x14ac:dyDescent="0.3">
      <c r="G144" s="21"/>
      <c r="H144" s="9"/>
    </row>
    <row r="145" spans="7:8" x14ac:dyDescent="0.3">
      <c r="G145" s="21"/>
      <c r="H145" s="9"/>
    </row>
    <row r="146" spans="7:8" x14ac:dyDescent="0.3">
      <c r="G146" s="21"/>
      <c r="H146" s="9"/>
    </row>
    <row r="147" spans="7:8" x14ac:dyDescent="0.3">
      <c r="G147" s="21"/>
      <c r="H147" s="9"/>
    </row>
    <row r="148" spans="7:8" x14ac:dyDescent="0.3">
      <c r="G148" s="21"/>
      <c r="H148" s="9"/>
    </row>
    <row r="149" spans="7:8" x14ac:dyDescent="0.3">
      <c r="G149" s="21"/>
      <c r="H149" s="9"/>
    </row>
    <row r="150" spans="7:8" x14ac:dyDescent="0.3">
      <c r="G150" s="21"/>
      <c r="H150" s="9"/>
    </row>
    <row r="151" spans="7:8" x14ac:dyDescent="0.3">
      <c r="G151" s="22"/>
      <c r="H151" s="22"/>
    </row>
    <row r="152" spans="7:8" x14ac:dyDescent="0.3">
      <c r="G152" s="11"/>
      <c r="H152" s="11"/>
    </row>
  </sheetData>
  <mergeCells count="1">
    <mergeCell ref="A1:J1"/>
  </mergeCells>
  <phoneticPr fontId="2" type="noConversion"/>
  <conditionalFormatting sqref="H3:H40">
    <cfRule type="containsText" dxfId="17" priority="1" operator="containsText" text="PARTIAL PASS">
      <formula>NOT(ISERROR(SEARCH("PARTIAL PASS",H3)))</formula>
    </cfRule>
    <cfRule type="containsText" dxfId="16" priority="2" operator="containsText" text="fail">
      <formula>NOT(ISERROR(SEARCH("fail",H3)))</formula>
    </cfRule>
    <cfRule type="containsText" dxfId="15" priority="3" operator="containsText" text="PASS">
      <formula>NOT(ISERROR(SEARCH("PASS",H3)))</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E3CE-4BD4-4FC4-81B8-5409E5552F8B}">
  <dimension ref="A1:G35"/>
  <sheetViews>
    <sheetView zoomScale="86" workbookViewId="0">
      <selection activeCell="I5" sqref="I5"/>
    </sheetView>
  </sheetViews>
  <sheetFormatPr defaultRowHeight="14.4" x14ac:dyDescent="0.3"/>
  <cols>
    <col min="1" max="1" width="18.6640625" customWidth="1"/>
    <col min="2" max="2" width="16.109375" customWidth="1"/>
    <col min="3" max="3" width="18.77734375" customWidth="1"/>
    <col min="4" max="4" width="12.6640625" customWidth="1"/>
    <col min="5" max="5" width="19.5546875" customWidth="1"/>
    <col min="6" max="6" width="15" customWidth="1"/>
    <col min="7" max="7" width="15.5546875" customWidth="1"/>
  </cols>
  <sheetData>
    <row r="1" spans="1:7" ht="26.4" customHeight="1" x14ac:dyDescent="0.3">
      <c r="A1" s="44" t="s">
        <v>276</v>
      </c>
      <c r="B1" s="44"/>
      <c r="C1" s="44"/>
      <c r="D1" s="44"/>
      <c r="E1" s="44"/>
      <c r="F1" s="44"/>
      <c r="G1" s="44"/>
    </row>
    <row r="2" spans="1:7" x14ac:dyDescent="0.3">
      <c r="A2" s="42" t="s">
        <v>283</v>
      </c>
      <c r="B2" s="42" t="s">
        <v>277</v>
      </c>
      <c r="C2" s="43" t="s">
        <v>278</v>
      </c>
      <c r="D2" s="42" t="s">
        <v>279</v>
      </c>
      <c r="E2" s="42" t="s">
        <v>280</v>
      </c>
      <c r="F2" s="42" t="s">
        <v>281</v>
      </c>
      <c r="G2" s="42" t="s">
        <v>282</v>
      </c>
    </row>
    <row r="3" spans="1:7" ht="72" customHeight="1" x14ac:dyDescent="0.3">
      <c r="A3" s="49" t="s">
        <v>284</v>
      </c>
      <c r="B3" s="49" t="s">
        <v>14</v>
      </c>
      <c r="C3" s="49" t="s">
        <v>8</v>
      </c>
      <c r="D3" s="50" t="s">
        <v>11</v>
      </c>
      <c r="E3" s="50" t="s">
        <v>286</v>
      </c>
      <c r="F3" s="50" t="s">
        <v>75</v>
      </c>
      <c r="G3" s="9" t="s">
        <v>287</v>
      </c>
    </row>
    <row r="4" spans="1:7" ht="43.2" x14ac:dyDescent="0.3">
      <c r="A4" s="49"/>
      <c r="B4" s="49"/>
      <c r="C4" s="49"/>
      <c r="D4" s="50" t="s">
        <v>11</v>
      </c>
      <c r="E4" s="50" t="s">
        <v>286</v>
      </c>
      <c r="F4" s="50" t="s">
        <v>79</v>
      </c>
      <c r="G4" s="9" t="s">
        <v>287</v>
      </c>
    </row>
    <row r="5" spans="1:7" ht="57.6" x14ac:dyDescent="0.3">
      <c r="A5" s="49"/>
      <c r="B5" s="2" t="s">
        <v>15</v>
      </c>
      <c r="C5" s="2" t="s">
        <v>9</v>
      </c>
      <c r="D5" s="2" t="s">
        <v>11</v>
      </c>
      <c r="E5" s="50" t="s">
        <v>286</v>
      </c>
      <c r="F5" s="50" t="s">
        <v>76</v>
      </c>
      <c r="G5" s="9" t="s">
        <v>288</v>
      </c>
    </row>
    <row r="6" spans="1:7" ht="43.2" x14ac:dyDescent="0.3">
      <c r="A6" s="51" t="s">
        <v>289</v>
      </c>
      <c r="B6" s="50" t="s">
        <v>16</v>
      </c>
      <c r="C6" s="50" t="s">
        <v>47</v>
      </c>
      <c r="D6" s="50" t="s">
        <v>11</v>
      </c>
      <c r="E6" s="50" t="s">
        <v>286</v>
      </c>
      <c r="F6" s="50" t="s">
        <v>85</v>
      </c>
      <c r="G6" s="9" t="s">
        <v>287</v>
      </c>
    </row>
    <row r="7" spans="1:7" ht="43.2" customHeight="1" x14ac:dyDescent="0.3">
      <c r="A7" s="49" t="s">
        <v>290</v>
      </c>
      <c r="B7" s="49" t="s">
        <v>18</v>
      </c>
      <c r="C7" s="49" t="s">
        <v>10</v>
      </c>
      <c r="D7" s="49" t="s">
        <v>11</v>
      </c>
      <c r="E7" s="49" t="s">
        <v>286</v>
      </c>
      <c r="F7" s="50" t="s">
        <v>80</v>
      </c>
      <c r="G7" s="9" t="s">
        <v>78</v>
      </c>
    </row>
    <row r="8" spans="1:7" ht="43.2" customHeight="1" x14ac:dyDescent="0.3">
      <c r="A8" s="49"/>
      <c r="B8" s="49"/>
      <c r="C8" s="49"/>
      <c r="D8" s="49"/>
      <c r="E8" s="49"/>
      <c r="F8" s="50" t="s">
        <v>81</v>
      </c>
      <c r="G8" s="9" t="s">
        <v>221</v>
      </c>
    </row>
    <row r="9" spans="1:7" ht="43.2" customHeight="1" x14ac:dyDescent="0.3">
      <c r="A9" s="49"/>
      <c r="B9" s="49"/>
      <c r="C9" s="49"/>
      <c r="D9" s="49"/>
      <c r="E9" s="49"/>
      <c r="F9" s="50" t="s">
        <v>82</v>
      </c>
      <c r="G9" s="9" t="s">
        <v>221</v>
      </c>
    </row>
    <row r="10" spans="1:7" ht="43.2" customHeight="1" x14ac:dyDescent="0.3">
      <c r="A10" s="49"/>
      <c r="B10" s="49"/>
      <c r="C10" s="49"/>
      <c r="D10" s="49"/>
      <c r="E10" s="49"/>
      <c r="F10" s="50" t="s">
        <v>83</v>
      </c>
      <c r="G10" s="9" t="s">
        <v>221</v>
      </c>
    </row>
    <row r="11" spans="1:7" ht="43.2" customHeight="1" x14ac:dyDescent="0.3">
      <c r="A11" s="49"/>
      <c r="B11" s="49"/>
      <c r="C11" s="49"/>
      <c r="D11" s="49"/>
      <c r="E11" s="49"/>
      <c r="F11" s="50" t="s">
        <v>84</v>
      </c>
      <c r="G11" s="9" t="s">
        <v>221</v>
      </c>
    </row>
    <row r="12" spans="1:7" ht="57.6" x14ac:dyDescent="0.3">
      <c r="A12" s="50" t="s">
        <v>291</v>
      </c>
      <c r="B12" s="2" t="s">
        <v>20</v>
      </c>
      <c r="C12" s="2" t="s">
        <v>136</v>
      </c>
      <c r="D12" s="50" t="s">
        <v>17</v>
      </c>
      <c r="E12" s="50" t="s">
        <v>286</v>
      </c>
      <c r="F12" s="50" t="s">
        <v>317</v>
      </c>
      <c r="G12" s="9" t="s">
        <v>77</v>
      </c>
    </row>
    <row r="13" spans="1:7" ht="65.400000000000006" customHeight="1" x14ac:dyDescent="0.3">
      <c r="A13" s="50" t="s">
        <v>292</v>
      </c>
      <c r="B13" s="2" t="s">
        <v>21</v>
      </c>
      <c r="C13" s="2" t="s">
        <v>117</v>
      </c>
      <c r="D13" s="50" t="s">
        <v>17</v>
      </c>
      <c r="E13" s="50" t="s">
        <v>286</v>
      </c>
      <c r="F13" s="50" t="s">
        <v>88</v>
      </c>
      <c r="G13" s="9" t="s">
        <v>77</v>
      </c>
    </row>
    <row r="14" spans="1:7" ht="57.6" x14ac:dyDescent="0.3">
      <c r="A14" s="50" t="s">
        <v>293</v>
      </c>
      <c r="B14" s="2" t="s">
        <v>22</v>
      </c>
      <c r="C14" s="2" t="s">
        <v>118</v>
      </c>
      <c r="D14" s="50" t="s">
        <v>17</v>
      </c>
      <c r="E14" s="50" t="s">
        <v>286</v>
      </c>
      <c r="F14" s="50">
        <v>22</v>
      </c>
      <c r="G14" s="9" t="s">
        <v>287</v>
      </c>
    </row>
    <row r="15" spans="1:7" ht="63" customHeight="1" x14ac:dyDescent="0.3">
      <c r="A15" s="50" t="s">
        <v>294</v>
      </c>
      <c r="B15" s="2" t="s">
        <v>23</v>
      </c>
      <c r="C15" s="2" t="s">
        <v>119</v>
      </c>
      <c r="D15" s="50" t="s">
        <v>17</v>
      </c>
      <c r="E15" s="50" t="s">
        <v>286</v>
      </c>
      <c r="F15" s="50" t="s">
        <v>313</v>
      </c>
      <c r="G15" s="9" t="s">
        <v>288</v>
      </c>
    </row>
    <row r="16" spans="1:7" ht="72" x14ac:dyDescent="0.3">
      <c r="A16" s="50" t="s">
        <v>295</v>
      </c>
      <c r="B16" s="2" t="s">
        <v>24</v>
      </c>
      <c r="C16" s="2" t="s">
        <v>120</v>
      </c>
      <c r="D16" s="50" t="s">
        <v>17</v>
      </c>
      <c r="E16" s="50" t="s">
        <v>286</v>
      </c>
      <c r="F16" s="50" t="s">
        <v>314</v>
      </c>
      <c r="G16" s="9" t="s">
        <v>77</v>
      </c>
    </row>
    <row r="17" spans="1:7" ht="72" x14ac:dyDescent="0.3">
      <c r="A17" s="50" t="s">
        <v>296</v>
      </c>
      <c r="B17" s="2" t="s">
        <v>25</v>
      </c>
      <c r="C17" s="2" t="s">
        <v>121</v>
      </c>
      <c r="D17" s="50" t="s">
        <v>17</v>
      </c>
      <c r="E17" s="50" t="s">
        <v>286</v>
      </c>
      <c r="F17" s="50" t="s">
        <v>315</v>
      </c>
      <c r="G17" s="9" t="s">
        <v>288</v>
      </c>
    </row>
    <row r="18" spans="1:7" ht="72" x14ac:dyDescent="0.3">
      <c r="A18" s="50" t="s">
        <v>297</v>
      </c>
      <c r="B18" s="2" t="s">
        <v>26</v>
      </c>
      <c r="C18" s="2" t="s">
        <v>122</v>
      </c>
      <c r="D18" s="50" t="s">
        <v>17</v>
      </c>
      <c r="E18" s="50" t="s">
        <v>286</v>
      </c>
      <c r="F18" s="50">
        <v>30</v>
      </c>
      <c r="G18" s="9" t="s">
        <v>288</v>
      </c>
    </row>
    <row r="19" spans="1:7" ht="57.6" x14ac:dyDescent="0.3">
      <c r="A19" s="50" t="s">
        <v>298</v>
      </c>
      <c r="B19" s="2" t="s">
        <v>27</v>
      </c>
      <c r="C19" s="2" t="s">
        <v>123</v>
      </c>
      <c r="D19" s="50" t="s">
        <v>17</v>
      </c>
      <c r="E19" s="50" t="s">
        <v>286</v>
      </c>
      <c r="F19" s="50" t="s">
        <v>316</v>
      </c>
      <c r="G19" s="9" t="s">
        <v>288</v>
      </c>
    </row>
    <row r="20" spans="1:7" ht="43.2" x14ac:dyDescent="0.3">
      <c r="A20" s="50" t="s">
        <v>299</v>
      </c>
      <c r="B20" s="2" t="s">
        <v>28</v>
      </c>
      <c r="C20" s="2" t="s">
        <v>124</v>
      </c>
      <c r="D20" s="50" t="s">
        <v>17</v>
      </c>
      <c r="E20" s="50" t="s">
        <v>286</v>
      </c>
      <c r="F20" s="50" t="s">
        <v>101</v>
      </c>
      <c r="G20" s="9" t="s">
        <v>287</v>
      </c>
    </row>
    <row r="21" spans="1:7" ht="72" x14ac:dyDescent="0.3">
      <c r="A21" s="50" t="s">
        <v>300</v>
      </c>
      <c r="B21" s="2" t="s">
        <v>29</v>
      </c>
      <c r="C21" s="2" t="s">
        <v>125</v>
      </c>
      <c r="D21" s="50" t="s">
        <v>17</v>
      </c>
      <c r="E21" s="50" t="s">
        <v>286</v>
      </c>
      <c r="F21" s="50" t="s">
        <v>102</v>
      </c>
      <c r="G21" s="9" t="s">
        <v>288</v>
      </c>
    </row>
    <row r="22" spans="1:7" ht="57.6" x14ac:dyDescent="0.3">
      <c r="A22" s="50" t="s">
        <v>301</v>
      </c>
      <c r="B22" s="2" t="s">
        <v>30</v>
      </c>
      <c r="C22" s="2" t="s">
        <v>126</v>
      </c>
      <c r="D22" s="50" t="s">
        <v>17</v>
      </c>
      <c r="E22" s="50" t="s">
        <v>286</v>
      </c>
      <c r="F22" s="50" t="s">
        <v>103</v>
      </c>
      <c r="G22" s="9" t="s">
        <v>243</v>
      </c>
    </row>
    <row r="23" spans="1:7" ht="86.4" x14ac:dyDescent="0.3">
      <c r="A23" s="50" t="s">
        <v>302</v>
      </c>
      <c r="B23" s="2" t="s">
        <v>31</v>
      </c>
      <c r="C23" s="2" t="s">
        <v>127</v>
      </c>
      <c r="D23" s="50" t="s">
        <v>17</v>
      </c>
      <c r="E23" s="50" t="s">
        <v>286</v>
      </c>
      <c r="F23" s="50" t="s">
        <v>104</v>
      </c>
      <c r="G23" s="9" t="s">
        <v>78</v>
      </c>
    </row>
    <row r="24" spans="1:7" ht="57.6" x14ac:dyDescent="0.3">
      <c r="A24" s="50" t="s">
        <v>303</v>
      </c>
      <c r="B24" s="2" t="s">
        <v>32</v>
      </c>
      <c r="C24" s="2" t="s">
        <v>128</v>
      </c>
      <c r="D24" s="50" t="s">
        <v>17</v>
      </c>
      <c r="E24" s="50" t="s">
        <v>286</v>
      </c>
      <c r="F24" s="50" t="s">
        <v>107</v>
      </c>
      <c r="G24" s="9" t="s">
        <v>287</v>
      </c>
    </row>
    <row r="25" spans="1:7" ht="72" x14ac:dyDescent="0.3">
      <c r="A25" s="50" t="s">
        <v>304</v>
      </c>
      <c r="B25" s="2" t="s">
        <v>33</v>
      </c>
      <c r="C25" s="2" t="s">
        <v>129</v>
      </c>
      <c r="D25" s="50" t="s">
        <v>17</v>
      </c>
      <c r="E25" s="50" t="s">
        <v>286</v>
      </c>
      <c r="F25" s="50" t="s">
        <v>109</v>
      </c>
      <c r="G25" s="9" t="s">
        <v>221</v>
      </c>
    </row>
    <row r="26" spans="1:7" ht="72" x14ac:dyDescent="0.3">
      <c r="A26" s="50" t="s">
        <v>305</v>
      </c>
      <c r="B26" s="2" t="s">
        <v>34</v>
      </c>
      <c r="C26" s="2" t="s">
        <v>130</v>
      </c>
      <c r="D26" s="50" t="s">
        <v>17</v>
      </c>
      <c r="E26" s="50" t="s">
        <v>286</v>
      </c>
      <c r="F26" s="50" t="s">
        <v>112</v>
      </c>
      <c r="G26" s="9" t="s">
        <v>228</v>
      </c>
    </row>
    <row r="27" spans="1:7" ht="57.6" x14ac:dyDescent="0.3">
      <c r="A27" s="50" t="s">
        <v>306</v>
      </c>
      <c r="B27" s="2" t="s">
        <v>35</v>
      </c>
      <c r="C27" s="2" t="s">
        <v>131</v>
      </c>
      <c r="D27" s="50" t="s">
        <v>17</v>
      </c>
      <c r="E27" s="50" t="s">
        <v>286</v>
      </c>
      <c r="F27" s="50" t="s">
        <v>113</v>
      </c>
      <c r="G27" s="9" t="s">
        <v>221</v>
      </c>
    </row>
    <row r="28" spans="1:7" ht="72" x14ac:dyDescent="0.3">
      <c r="A28" s="50" t="s">
        <v>307</v>
      </c>
      <c r="B28" s="2" t="s">
        <v>36</v>
      </c>
      <c r="C28" s="2" t="s">
        <v>132</v>
      </c>
      <c r="D28" s="50" t="s">
        <v>17</v>
      </c>
      <c r="E28" s="50" t="s">
        <v>286</v>
      </c>
      <c r="F28" s="50" t="s">
        <v>158</v>
      </c>
      <c r="G28" s="9" t="s">
        <v>221</v>
      </c>
    </row>
    <row r="29" spans="1:7" ht="72" x14ac:dyDescent="0.3">
      <c r="A29" s="50" t="s">
        <v>308</v>
      </c>
      <c r="B29" s="2" t="s">
        <v>37</v>
      </c>
      <c r="C29" s="3" t="s">
        <v>133</v>
      </c>
      <c r="D29" s="50" t="s">
        <v>17</v>
      </c>
      <c r="E29" s="50" t="s">
        <v>286</v>
      </c>
      <c r="F29" s="50" t="s">
        <v>159</v>
      </c>
      <c r="G29" s="9" t="s">
        <v>221</v>
      </c>
    </row>
    <row r="30" spans="1:7" ht="72" x14ac:dyDescent="0.3">
      <c r="A30" s="50" t="s">
        <v>309</v>
      </c>
      <c r="B30" s="2" t="s">
        <v>38</v>
      </c>
      <c r="C30" s="3" t="s">
        <v>134</v>
      </c>
      <c r="D30" s="50" t="s">
        <v>17</v>
      </c>
      <c r="E30" s="50" t="s">
        <v>286</v>
      </c>
      <c r="F30" s="50" t="s">
        <v>160</v>
      </c>
      <c r="G30" s="9" t="s">
        <v>221</v>
      </c>
    </row>
    <row r="31" spans="1:7" ht="76.2" customHeight="1" x14ac:dyDescent="0.3">
      <c r="A31" s="50" t="s">
        <v>310</v>
      </c>
      <c r="B31" s="2" t="s">
        <v>39</v>
      </c>
      <c r="C31" s="2" t="s">
        <v>135</v>
      </c>
      <c r="D31" s="50" t="s">
        <v>17</v>
      </c>
      <c r="E31" s="50" t="s">
        <v>286</v>
      </c>
      <c r="F31" s="50" t="s">
        <v>161</v>
      </c>
      <c r="G31" s="9" t="s">
        <v>221</v>
      </c>
    </row>
    <row r="32" spans="1:7" ht="54.6" customHeight="1" x14ac:dyDescent="0.3">
      <c r="A32" s="50" t="s">
        <v>311</v>
      </c>
      <c r="B32" s="2" t="s">
        <v>40</v>
      </c>
      <c r="C32" s="2" t="s">
        <v>19</v>
      </c>
      <c r="D32" s="50" t="s">
        <v>17</v>
      </c>
      <c r="E32" s="50" t="s">
        <v>286</v>
      </c>
      <c r="F32" s="50" t="s">
        <v>162</v>
      </c>
      <c r="G32" s="9" t="s">
        <v>243</v>
      </c>
    </row>
    <row r="33" spans="1:7" ht="43.2" x14ac:dyDescent="0.3">
      <c r="A33" s="50" t="s">
        <v>312</v>
      </c>
      <c r="B33" s="2" t="s">
        <v>108</v>
      </c>
      <c r="C33" s="2" t="s">
        <v>41</v>
      </c>
      <c r="D33" s="50" t="s">
        <v>17</v>
      </c>
      <c r="E33" s="50" t="s">
        <v>286</v>
      </c>
      <c r="F33" s="50" t="s">
        <v>163</v>
      </c>
      <c r="G33" s="9" t="s">
        <v>243</v>
      </c>
    </row>
    <row r="34" spans="1:7" x14ac:dyDescent="0.3">
      <c r="A34" s="23"/>
      <c r="B34" s="23"/>
      <c r="C34" s="23"/>
      <c r="D34" s="23"/>
      <c r="E34" s="23"/>
      <c r="F34" s="23"/>
      <c r="G34" s="23"/>
    </row>
    <row r="35" spans="1:7" x14ac:dyDescent="0.3">
      <c r="A35" s="23"/>
      <c r="B35" s="23"/>
      <c r="C35" s="23"/>
      <c r="D35" s="23"/>
      <c r="E35" s="23"/>
      <c r="F35" s="23"/>
      <c r="G35" s="23"/>
    </row>
  </sheetData>
  <mergeCells count="9">
    <mergeCell ref="E7:E11"/>
    <mergeCell ref="A1:G1"/>
    <mergeCell ref="A3:A5"/>
    <mergeCell ref="B3:B4"/>
    <mergeCell ref="C3:C4"/>
    <mergeCell ref="C7:C11"/>
    <mergeCell ref="B7:B11"/>
    <mergeCell ref="A7:A11"/>
    <mergeCell ref="D7:D11"/>
  </mergeCells>
  <phoneticPr fontId="2" type="noConversion"/>
  <conditionalFormatting sqref="G7:G11">
    <cfRule type="containsText" dxfId="14" priority="8" operator="containsText" text="PARTIAL PASS">
      <formula>NOT(ISERROR(SEARCH("PARTIAL PASS",G7)))</formula>
    </cfRule>
    <cfRule type="containsText" dxfId="13" priority="9" operator="containsText" text="fail">
      <formula>NOT(ISERROR(SEARCH("fail",G7)))</formula>
    </cfRule>
    <cfRule type="containsText" dxfId="12" priority="10" operator="containsText" text="PASS">
      <formula>NOT(ISERROR(SEARCH("PASS",G7)))</formula>
    </cfRule>
  </conditionalFormatting>
  <conditionalFormatting sqref="G25:G33">
    <cfRule type="containsText" dxfId="11" priority="5" operator="containsText" text="PARTIAL PASS">
      <formula>NOT(ISERROR(SEARCH("PARTIAL PASS",G25)))</formula>
    </cfRule>
    <cfRule type="containsText" dxfId="10" priority="6" operator="containsText" text="fail">
      <formula>NOT(ISERROR(SEARCH("fail",G25)))</formula>
    </cfRule>
    <cfRule type="containsText" dxfId="9" priority="7" operator="containsText" text="PASS">
      <formula>NOT(ISERROR(SEARCH("PASS",G25)))</formula>
    </cfRule>
  </conditionalFormatting>
  <conditionalFormatting sqref="G9">
    <cfRule type="containsText" dxfId="8" priority="4" operator="containsText" text="PASS">
      <formula>NOT(ISERROR(SEARCH("PASS",G9)))</formula>
    </cfRule>
  </conditionalFormatting>
  <conditionalFormatting sqref="G3:G33">
    <cfRule type="containsText" dxfId="7" priority="1" operator="containsText" text="Partial Pass">
      <formula>NOT(ISERROR(SEARCH("Partial Pass",G3)))</formula>
    </cfRule>
    <cfRule type="containsText" dxfId="6" priority="2" operator="containsText" text="Fail">
      <formula>NOT(ISERROR(SEARCH("Fail",G3)))</formula>
    </cfRule>
    <cfRule type="containsText" dxfId="5" priority="3" operator="containsText" text="Pass">
      <formula>NOT(ISERROR(SEARCH("Pass",G3)))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BD65-8016-4C60-9821-5481746698AC}">
  <dimension ref="A1:J23"/>
  <sheetViews>
    <sheetView topLeftCell="A8" zoomScale="76" workbookViewId="0">
      <selection activeCell="L4" sqref="L4"/>
    </sheetView>
  </sheetViews>
  <sheetFormatPr defaultRowHeight="14.4" x14ac:dyDescent="0.3"/>
  <cols>
    <col min="1" max="1" width="26.21875" customWidth="1"/>
    <col min="2" max="2" width="14.5546875" customWidth="1"/>
    <col min="7" max="7" width="10.77734375" customWidth="1"/>
    <col min="8" max="8" width="13.6640625" customWidth="1"/>
    <col min="9" max="9" width="12.6640625" customWidth="1"/>
    <col min="10" max="10" width="77" customWidth="1"/>
  </cols>
  <sheetData>
    <row r="1" spans="1:10" x14ac:dyDescent="0.3">
      <c r="A1" s="40" t="s">
        <v>215</v>
      </c>
      <c r="B1" s="41"/>
      <c r="C1" s="41"/>
      <c r="D1" s="41"/>
      <c r="E1" s="41"/>
      <c r="F1" s="41"/>
      <c r="G1" s="41"/>
      <c r="H1" s="41"/>
      <c r="I1" s="41"/>
      <c r="J1" s="41"/>
    </row>
    <row r="2" spans="1:10" x14ac:dyDescent="0.3">
      <c r="A2" s="19" t="s">
        <v>267</v>
      </c>
      <c r="B2" s="19" t="s">
        <v>216</v>
      </c>
      <c r="C2" s="19" t="s">
        <v>217</v>
      </c>
      <c r="D2" s="31" t="s">
        <v>218</v>
      </c>
      <c r="E2" s="32"/>
      <c r="F2" s="32"/>
      <c r="G2" s="33"/>
      <c r="H2" s="19" t="s">
        <v>219</v>
      </c>
      <c r="I2" s="19" t="s">
        <v>3</v>
      </c>
      <c r="J2" s="19" t="s">
        <v>285</v>
      </c>
    </row>
    <row r="3" spans="1:10" ht="129.6" customHeight="1" x14ac:dyDescent="0.3">
      <c r="A3" s="34" t="s">
        <v>212</v>
      </c>
      <c r="B3" s="34" t="s">
        <v>14</v>
      </c>
      <c r="C3" s="34" t="s">
        <v>106</v>
      </c>
      <c r="D3" s="35" t="s">
        <v>214</v>
      </c>
      <c r="E3" s="36"/>
      <c r="F3" s="36"/>
      <c r="G3" s="37"/>
      <c r="H3" s="38" t="s">
        <v>213</v>
      </c>
      <c r="I3" s="34" t="s">
        <v>13</v>
      </c>
      <c r="J3" s="34" t="s">
        <v>318</v>
      </c>
    </row>
    <row r="4" spans="1:10" ht="78" x14ac:dyDescent="0.3">
      <c r="A4" s="34" t="s">
        <v>261</v>
      </c>
      <c r="B4" s="34" t="s">
        <v>14</v>
      </c>
      <c r="C4" s="34" t="s">
        <v>106</v>
      </c>
      <c r="D4" s="35" t="s">
        <v>262</v>
      </c>
      <c r="E4" s="36"/>
      <c r="F4" s="36"/>
      <c r="G4" s="37"/>
      <c r="H4" s="38" t="s">
        <v>228</v>
      </c>
      <c r="I4" s="34" t="s">
        <v>13</v>
      </c>
      <c r="J4" s="39"/>
    </row>
    <row r="5" spans="1:10" ht="93.6" x14ac:dyDescent="0.3">
      <c r="A5" s="34" t="s">
        <v>266</v>
      </c>
      <c r="B5" s="34" t="s">
        <v>18</v>
      </c>
      <c r="C5" s="34" t="s">
        <v>106</v>
      </c>
      <c r="D5" s="35" t="s">
        <v>248</v>
      </c>
      <c r="E5" s="36"/>
      <c r="F5" s="36"/>
      <c r="G5" s="37"/>
      <c r="H5" s="38" t="s">
        <v>213</v>
      </c>
      <c r="I5" s="34" t="s">
        <v>12</v>
      </c>
      <c r="J5" s="34" t="s">
        <v>319</v>
      </c>
    </row>
    <row r="6" spans="1:10" ht="96.6" customHeight="1" x14ac:dyDescent="0.3">
      <c r="A6" s="34" t="s">
        <v>268</v>
      </c>
      <c r="B6" s="34" t="s">
        <v>23</v>
      </c>
      <c r="C6" s="34" t="s">
        <v>17</v>
      </c>
      <c r="D6" s="35" t="s">
        <v>236</v>
      </c>
      <c r="E6" s="36"/>
      <c r="F6" s="36"/>
      <c r="G6" s="37"/>
      <c r="H6" s="38" t="s">
        <v>213</v>
      </c>
      <c r="I6" s="34" t="s">
        <v>13</v>
      </c>
      <c r="J6" s="34" t="s">
        <v>320</v>
      </c>
    </row>
    <row r="7" spans="1:10" ht="39.6" customHeight="1" x14ac:dyDescent="0.3">
      <c r="A7" s="34" t="s">
        <v>269</v>
      </c>
      <c r="B7" s="34" t="s">
        <v>25</v>
      </c>
      <c r="C7" s="34" t="s">
        <v>17</v>
      </c>
      <c r="D7" s="35" t="s">
        <v>237</v>
      </c>
      <c r="E7" s="36"/>
      <c r="F7" s="36"/>
      <c r="G7" s="37"/>
      <c r="H7" s="38" t="s">
        <v>228</v>
      </c>
      <c r="I7" s="34" t="s">
        <v>13</v>
      </c>
      <c r="J7" s="39"/>
    </row>
    <row r="8" spans="1:10" ht="48.6" customHeight="1" x14ac:dyDescent="0.3">
      <c r="A8" s="34" t="s">
        <v>270</v>
      </c>
      <c r="B8" s="34" t="s">
        <v>27</v>
      </c>
      <c r="C8" s="34" t="s">
        <v>17</v>
      </c>
      <c r="D8" s="35" t="s">
        <v>238</v>
      </c>
      <c r="E8" s="36"/>
      <c r="F8" s="36"/>
      <c r="G8" s="37"/>
      <c r="H8" s="38" t="s">
        <v>228</v>
      </c>
      <c r="I8" s="34" t="s">
        <v>12</v>
      </c>
      <c r="J8" s="39"/>
    </row>
    <row r="9" spans="1:10" ht="81" customHeight="1" x14ac:dyDescent="0.3">
      <c r="A9" s="34" t="s">
        <v>271</v>
      </c>
      <c r="B9" s="34" t="s">
        <v>30</v>
      </c>
      <c r="C9" s="34" t="s">
        <v>17</v>
      </c>
      <c r="D9" s="35" t="s">
        <v>239</v>
      </c>
      <c r="E9" s="36"/>
      <c r="F9" s="36"/>
      <c r="G9" s="37"/>
      <c r="H9" s="38" t="s">
        <v>78</v>
      </c>
      <c r="I9" s="34" t="s">
        <v>12</v>
      </c>
      <c r="J9" s="34" t="s">
        <v>321</v>
      </c>
    </row>
    <row r="10" spans="1:10" ht="63" customHeight="1" x14ac:dyDescent="0.3">
      <c r="A10" s="34" t="s">
        <v>272</v>
      </c>
      <c r="B10" s="34" t="s">
        <v>31</v>
      </c>
      <c r="C10" s="34" t="s">
        <v>17</v>
      </c>
      <c r="D10" s="35" t="s">
        <v>240</v>
      </c>
      <c r="E10" s="36"/>
      <c r="F10" s="36"/>
      <c r="G10" s="37"/>
      <c r="H10" s="38" t="s">
        <v>78</v>
      </c>
      <c r="I10" s="34" t="s">
        <v>12</v>
      </c>
      <c r="J10" s="34" t="s">
        <v>322</v>
      </c>
    </row>
    <row r="11" spans="1:10" ht="37.200000000000003" customHeight="1" x14ac:dyDescent="0.3">
      <c r="A11" s="34" t="s">
        <v>273</v>
      </c>
      <c r="B11" s="34" t="s">
        <v>34</v>
      </c>
      <c r="C11" s="34" t="s">
        <v>17</v>
      </c>
      <c r="D11" s="35" t="s">
        <v>242</v>
      </c>
      <c r="E11" s="36"/>
      <c r="F11" s="36"/>
      <c r="G11" s="37"/>
      <c r="H11" s="38" t="s">
        <v>228</v>
      </c>
      <c r="I11" s="34" t="s">
        <v>12</v>
      </c>
      <c r="J11" s="39"/>
    </row>
    <row r="12" spans="1:10" ht="57.6" customHeight="1" x14ac:dyDescent="0.3">
      <c r="A12" s="34" t="s">
        <v>274</v>
      </c>
      <c r="B12" s="34" t="s">
        <v>40</v>
      </c>
      <c r="C12" s="34" t="s">
        <v>17</v>
      </c>
      <c r="D12" s="35" t="s">
        <v>244</v>
      </c>
      <c r="E12" s="36"/>
      <c r="F12" s="36"/>
      <c r="G12" s="37"/>
      <c r="H12" s="38" t="s">
        <v>243</v>
      </c>
      <c r="I12" s="34" t="s">
        <v>12</v>
      </c>
      <c r="J12" s="34" t="s">
        <v>323</v>
      </c>
    </row>
    <row r="13" spans="1:10" ht="57.6" customHeight="1" x14ac:dyDescent="0.3">
      <c r="A13" s="34" t="s">
        <v>275</v>
      </c>
      <c r="B13" s="34" t="s">
        <v>108</v>
      </c>
      <c r="C13" s="34" t="s">
        <v>17</v>
      </c>
      <c r="D13" s="35" t="s">
        <v>245</v>
      </c>
      <c r="E13" s="36"/>
      <c r="F13" s="36"/>
      <c r="G13" s="37"/>
      <c r="H13" s="38" t="s">
        <v>243</v>
      </c>
      <c r="I13" s="34" t="s">
        <v>12</v>
      </c>
      <c r="J13" s="34" t="s">
        <v>324</v>
      </c>
    </row>
    <row r="14" spans="1:10" x14ac:dyDescent="0.3">
      <c r="A14" s="23"/>
      <c r="B14" s="23"/>
      <c r="C14" s="23"/>
      <c r="D14" s="30"/>
      <c r="E14" s="30"/>
      <c r="F14" s="30"/>
      <c r="G14" s="30"/>
      <c r="H14" s="23"/>
      <c r="I14" s="23"/>
    </row>
    <row r="15" spans="1:10" x14ac:dyDescent="0.3">
      <c r="A15" s="23"/>
      <c r="B15" s="23"/>
      <c r="C15" s="23"/>
      <c r="D15" s="30"/>
      <c r="E15" s="30"/>
      <c r="F15" s="30"/>
      <c r="G15" s="30"/>
      <c r="H15" s="23"/>
      <c r="I15" s="23"/>
    </row>
    <row r="16" spans="1:10" x14ac:dyDescent="0.3">
      <c r="A16" s="23"/>
      <c r="B16" s="23"/>
      <c r="C16" s="23"/>
      <c r="D16" s="30"/>
      <c r="E16" s="30"/>
      <c r="F16" s="30"/>
      <c r="G16" s="30"/>
      <c r="H16" s="23"/>
      <c r="I16" s="23"/>
    </row>
    <row r="17" spans="1:9" x14ac:dyDescent="0.3">
      <c r="A17" s="23"/>
      <c r="B17" s="23"/>
      <c r="C17" s="23"/>
      <c r="D17" s="30"/>
      <c r="E17" s="30"/>
      <c r="F17" s="30"/>
      <c r="G17" s="30"/>
      <c r="H17" s="23"/>
      <c r="I17" s="23"/>
    </row>
    <row r="18" spans="1:9" x14ac:dyDescent="0.3">
      <c r="A18" s="23"/>
      <c r="B18" s="23"/>
      <c r="C18" s="23"/>
      <c r="D18" s="30"/>
      <c r="E18" s="30"/>
      <c r="F18" s="30"/>
      <c r="G18" s="30"/>
      <c r="H18" s="23"/>
      <c r="I18" s="23"/>
    </row>
    <row r="19" spans="1:9" x14ac:dyDescent="0.3">
      <c r="A19" s="23"/>
      <c r="B19" s="23"/>
      <c r="C19" s="23"/>
      <c r="D19" s="30"/>
      <c r="E19" s="30"/>
      <c r="F19" s="30"/>
      <c r="G19" s="30"/>
      <c r="H19" s="23"/>
      <c r="I19" s="23"/>
    </row>
    <row r="20" spans="1:9" x14ac:dyDescent="0.3">
      <c r="A20" s="23"/>
      <c r="B20" s="23"/>
      <c r="C20" s="23"/>
      <c r="D20" s="30"/>
      <c r="E20" s="30"/>
      <c r="F20" s="30"/>
      <c r="G20" s="30"/>
      <c r="H20" s="23"/>
      <c r="I20" s="23"/>
    </row>
    <row r="21" spans="1:9" x14ac:dyDescent="0.3">
      <c r="A21" s="23"/>
      <c r="B21" s="23"/>
      <c r="C21" s="23"/>
      <c r="D21" s="30"/>
      <c r="E21" s="30"/>
      <c r="F21" s="30"/>
      <c r="G21" s="30"/>
      <c r="H21" s="23"/>
      <c r="I21" s="23"/>
    </row>
    <row r="22" spans="1:9" x14ac:dyDescent="0.3">
      <c r="A22" s="23"/>
      <c r="B22" s="23"/>
      <c r="C22" s="23"/>
      <c r="D22" s="30"/>
      <c r="E22" s="30"/>
      <c r="F22" s="30"/>
      <c r="G22" s="30"/>
      <c r="H22" s="23"/>
      <c r="I22" s="23"/>
    </row>
    <row r="23" spans="1:9" x14ac:dyDescent="0.3">
      <c r="A23" s="23"/>
      <c r="B23" s="23"/>
      <c r="C23" s="23"/>
      <c r="D23" s="30"/>
      <c r="E23" s="30"/>
      <c r="F23" s="30"/>
      <c r="G23" s="30"/>
      <c r="H23" s="23"/>
      <c r="I23" s="23"/>
    </row>
  </sheetData>
  <mergeCells count="23">
    <mergeCell ref="D19:G19"/>
    <mergeCell ref="D20:G20"/>
    <mergeCell ref="D21:G21"/>
    <mergeCell ref="D22:G22"/>
    <mergeCell ref="D23:G23"/>
    <mergeCell ref="A1:J1"/>
    <mergeCell ref="D18:G18"/>
    <mergeCell ref="D7:G7"/>
    <mergeCell ref="D8:G8"/>
    <mergeCell ref="D9:G9"/>
    <mergeCell ref="D10:G10"/>
    <mergeCell ref="D11:G11"/>
    <mergeCell ref="D12:G12"/>
    <mergeCell ref="D13:G13"/>
    <mergeCell ref="D14:G14"/>
    <mergeCell ref="D15:G15"/>
    <mergeCell ref="D16:G16"/>
    <mergeCell ref="D17:G17"/>
    <mergeCell ref="D6:G6"/>
    <mergeCell ref="D3:G3"/>
    <mergeCell ref="D2:G2"/>
    <mergeCell ref="D4:G4"/>
    <mergeCell ref="D5:G5"/>
  </mergeCells>
  <phoneticPr fontId="2" type="noConversion"/>
  <conditionalFormatting sqref="H3:H13">
    <cfRule type="containsText" dxfId="4" priority="1" operator="containsText" text="PARTIAL PASS">
      <formula>NOT(ISERROR(SEARCH("PARTIAL PASS",H3)))</formula>
    </cfRule>
    <cfRule type="containsText" dxfId="3" priority="2" operator="containsText" text="FAIL">
      <formula>NOT(ISERROR(SEARCH("FAIL",H3)))</formula>
    </cfRule>
  </conditionalFormatting>
  <conditionalFormatting sqref="H7:H13">
    <cfRule type="containsText" dxfId="2" priority="3" operator="containsText" text="PARTIAL PASS">
      <formula>NOT(ISERROR(SEARCH("PARTIAL PASS",H7)))</formula>
    </cfRule>
    <cfRule type="containsText" dxfId="1" priority="4" operator="containsText" text="fail">
      <formula>NOT(ISERROR(SEARCH("fail",H7)))</formula>
    </cfRule>
    <cfRule type="containsText" dxfId="0" priority="5" operator="containsText" text="PASS">
      <formula>NOT(ISERROR(SEARCH("PASS",H7)))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24B2D-14DF-4B0D-B43A-5A96166B1151}">
  <dimension ref="A1:F11"/>
  <sheetViews>
    <sheetView tabSelected="1" workbookViewId="0">
      <selection activeCell="L18" sqref="L18"/>
    </sheetView>
  </sheetViews>
  <sheetFormatPr defaultRowHeight="14.4" x14ac:dyDescent="0.3"/>
  <sheetData>
    <row r="1" spans="1:6" x14ac:dyDescent="0.3">
      <c r="A1" s="45" t="s">
        <v>325</v>
      </c>
      <c r="B1" s="45"/>
      <c r="C1" s="45"/>
      <c r="D1" s="45"/>
      <c r="E1" s="45"/>
      <c r="F1" s="45"/>
    </row>
    <row r="2" spans="1:6" x14ac:dyDescent="0.3">
      <c r="A2" s="46" t="s">
        <v>326</v>
      </c>
      <c r="B2" s="46"/>
      <c r="C2" s="46"/>
      <c r="D2" s="46" t="s">
        <v>327</v>
      </c>
      <c r="E2" s="46"/>
      <c r="F2" s="46"/>
    </row>
    <row r="3" spans="1:6" x14ac:dyDescent="0.3">
      <c r="A3" s="47" t="s">
        <v>328</v>
      </c>
      <c r="B3" s="47"/>
      <c r="C3" s="47"/>
      <c r="D3" s="47">
        <v>46</v>
      </c>
      <c r="E3" s="47"/>
      <c r="F3" s="47"/>
    </row>
    <row r="4" spans="1:6" x14ac:dyDescent="0.3">
      <c r="A4" s="47" t="s">
        <v>329</v>
      </c>
      <c r="B4" s="47"/>
      <c r="C4" s="47"/>
      <c r="D4" s="47">
        <v>46</v>
      </c>
      <c r="E4" s="47"/>
      <c r="F4" s="47"/>
    </row>
    <row r="5" spans="1:6" x14ac:dyDescent="0.3">
      <c r="A5" s="47" t="s">
        <v>330</v>
      </c>
      <c r="B5" s="47"/>
      <c r="C5" s="47"/>
      <c r="D5" s="47">
        <v>26</v>
      </c>
      <c r="E5" s="47"/>
      <c r="F5" s="47"/>
    </row>
    <row r="6" spans="1:6" x14ac:dyDescent="0.3">
      <c r="A6" s="52" t="s">
        <v>336</v>
      </c>
      <c r="B6" s="53"/>
      <c r="C6" s="54"/>
      <c r="D6" s="52">
        <v>6</v>
      </c>
      <c r="E6" s="53"/>
      <c r="F6" s="54"/>
    </row>
    <row r="7" spans="1:6" x14ac:dyDescent="0.3">
      <c r="A7" s="47" t="s">
        <v>331</v>
      </c>
      <c r="B7" s="47"/>
      <c r="C7" s="47"/>
      <c r="D7" s="47">
        <v>14</v>
      </c>
      <c r="E7" s="47"/>
      <c r="F7" s="47"/>
    </row>
    <row r="8" spans="1:6" x14ac:dyDescent="0.3">
      <c r="A8" s="47" t="s">
        <v>332</v>
      </c>
      <c r="B8" s="47"/>
      <c r="C8" s="47"/>
      <c r="D8" s="47">
        <v>11</v>
      </c>
      <c r="E8" s="47"/>
      <c r="F8" s="47"/>
    </row>
    <row r="9" spans="1:6" x14ac:dyDescent="0.3">
      <c r="A9" s="47" t="s">
        <v>333</v>
      </c>
      <c r="B9" s="47"/>
      <c r="C9" s="47"/>
      <c r="D9" s="47" t="s">
        <v>337</v>
      </c>
      <c r="E9" s="47"/>
      <c r="F9" s="47"/>
    </row>
    <row r="10" spans="1:6" x14ac:dyDescent="0.3">
      <c r="A10" s="47" t="s">
        <v>334</v>
      </c>
      <c r="B10" s="47"/>
      <c r="C10" s="47"/>
      <c r="D10" s="47" t="s">
        <v>337</v>
      </c>
      <c r="E10" s="47"/>
      <c r="F10" s="47"/>
    </row>
    <row r="11" spans="1:6" x14ac:dyDescent="0.3">
      <c r="A11" s="47" t="s">
        <v>335</v>
      </c>
      <c r="B11" s="47"/>
      <c r="C11" s="47"/>
      <c r="D11" s="48" t="s">
        <v>337</v>
      </c>
      <c r="E11" s="47"/>
      <c r="F11" s="47"/>
    </row>
  </sheetData>
  <mergeCells count="21">
    <mergeCell ref="A9:C9"/>
    <mergeCell ref="D9:F9"/>
    <mergeCell ref="A10:C10"/>
    <mergeCell ref="D10:F10"/>
    <mergeCell ref="A11:C11"/>
    <mergeCell ref="D11:F11"/>
    <mergeCell ref="A5:C5"/>
    <mergeCell ref="D5:F5"/>
    <mergeCell ref="A7:C7"/>
    <mergeCell ref="D7:F7"/>
    <mergeCell ref="A8:C8"/>
    <mergeCell ref="D8:F8"/>
    <mergeCell ref="A6:C6"/>
    <mergeCell ref="D6:F6"/>
    <mergeCell ref="A1:F1"/>
    <mergeCell ref="A2:C2"/>
    <mergeCell ref="D2:F2"/>
    <mergeCell ref="A3:C3"/>
    <mergeCell ref="D3:F3"/>
    <mergeCell ref="A4:C4"/>
    <mergeCell ref="D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vt:lpstr>
      <vt:lpstr>TEST CASES</vt:lpstr>
      <vt:lpstr>RTM</vt:lpstr>
      <vt:lpstr>BUG|DEFECT|ERROR REPORT</vt:lpstr>
      <vt:lpstr>TEST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sinha</dc:creator>
  <cp:lastModifiedBy>vishakha sinha</cp:lastModifiedBy>
  <dcterms:created xsi:type="dcterms:W3CDTF">2015-06-05T18:17:20Z</dcterms:created>
  <dcterms:modified xsi:type="dcterms:W3CDTF">2025-03-01T11:23:05Z</dcterms:modified>
</cp:coreProperties>
</file>